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8f21818e1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65700a50034570"/>
    <x:sheet xmlns:r="http://schemas.openxmlformats.org/officeDocument/2006/relationships" name="Assumptions" sheetId="2" r:id="Rafa42b921f3841b8"/>
    <x:sheet xmlns:r="http://schemas.openxmlformats.org/officeDocument/2006/relationships" name="Forecast" sheetId="3" r:id="Rfdb3cb39f4ce40d9"/>
    <x:sheet xmlns:r="http://schemas.openxmlformats.org/officeDocument/2006/relationships" name="Cohorts" sheetId="4" r:id="Rfbba69fdd53549d6"/>
    <x:sheet xmlns:r="http://schemas.openxmlformats.org/officeDocument/2006/relationships" name="Unit economics" sheetId="5" r:id="Reb56a78b68b3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(#,##0);&quot;–&quot;"/>
    <x:numFmt numFmtId="201" formatCode="&quot;M&quot;0"/>
    <x:numFmt numFmtId="202" formatCode="0.0%;(0.0%);&quot;–&quot;"/>
    <x:numFmt numFmtId="203" formatCode="&quot;$&quot;#,##0;(&quot;$&quot;#,##0);&quot;–&quot;"/>
    <x:numFmt numFmtId="204" formatCode="#,##0.00;(#,##0.00);&quot;–&quot;"/>
    <x:numFmt numFmtId="205" formatCode="0.00"/>
  </x:numFmts>
  <x:fonts count="13">
    <x:font>
      <x:sz val="11"/>
      <x:name val="Carlito"/>
    </x:font>
    <x:font>
      <x:sz val="10"/>
      <x:color rgb="FF183247"/>
      <x:name val="Arial"/>
    </x:font>
    <x:font>
      <x:b/>
      <x:sz val="15"/>
      <x:color rgb="FF183247"/>
      <x:name val="Arial"/>
    </x:font>
    <x:font>
      <x:sz val="10"/>
      <x:color rgb="FF267343"/>
      <x:name val="Arial"/>
    </x:font>
    <x:font>
      <x:sz val="10"/>
      <x:color rgb="FF1455C0"/>
      <x:name val="Arial"/>
    </x:font>
    <x:font>
      <x:sz val="10"/>
      <x:color rgb="FFFFFFFF"/>
      <x:name val="Arial"/>
    </x:font>
    <x:font>
      <x:b/>
      <x:sz val="10"/>
      <x:color rgb="FF183247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i/>
      <x:sz val="10"/>
      <x:color rgb="FF183247"/>
      <x:name val="Arial"/>
    </x:font>
    <x:font>
      <x:b/>
      <x:i/>
      <x:sz val="10"/>
      <x:color rgb="FF000000"/>
      <x:name val="Arial"/>
    </x:font>
    <x:font>
      <x:i/>
      <x:sz val="10"/>
      <x:color rgb="FF183247"/>
      <x:name val="Arial"/>
    </x:font>
    <x:font>
      <x:i/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247"/>
      </x:patternFill>
    </x:fill>
    <x:fill>
      <x:patternFill patternType="solid">
        <x:fgColor rgb="FFEAF0F5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A9BAC6"/>
      </x:bottom>
    </x:border>
    <x:border>
      <x:left style="dashed">
        <x:color rgb="FF8799A5"/>
      </x:left>
      <x:right style="dashed">
        <x:color rgb="FF8799A5"/>
      </x:right>
      <x:top style="dashed">
        <x:color rgb="FF8799A5"/>
      </x:top>
      <x:bottom style="dashed">
        <x:color rgb="FF8799A5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200" fontId="4" fillId="2" borderId="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3" fontId="7" fillId="4" borderId="0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204" fontId="8" fillId="2" borderId="0" xfId="0" applyNumberFormat="1" applyFont="1" applyFill="1" applyBorder="1" applyAlignment="1">
      <x:alignment vertical="center"/>
    </x:xf>
    <x:xf numFmtId="204" fontId="8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b64480a0e47ca" /><Relationship Type="http://schemas.openxmlformats.org/officeDocument/2006/relationships/theme" Target="/xl/theme/theme1.xml" Id="R89fbc6e2bbb14d81" /><Relationship Type="http://schemas.openxmlformats.org/officeDocument/2006/relationships/sharedStrings" Target="/xl/sharedStrings.xml" Id="R7a9a99a120c24962" /><Relationship Type="http://schemas.openxmlformats.org/officeDocument/2006/relationships/worksheet" Target="/xl/worksheets/sheet1.xml" Id="R9965700a50034570" /><Relationship Type="http://schemas.openxmlformats.org/officeDocument/2006/relationships/worksheet" Target="/xl/worksheets/sheet2.xml" Id="Rafa42b921f3841b8" /><Relationship Type="http://schemas.openxmlformats.org/officeDocument/2006/relationships/worksheet" Target="/xl/worksheets/sheet3.xml" Id="Rfdb3cb39f4ce40d9" /><Relationship Type="http://schemas.openxmlformats.org/officeDocument/2006/relationships/worksheet" Target="/xl/worksheets/sheet4.xml" Id="Rfbba69fdd53549d6" /><Relationship Type="http://schemas.openxmlformats.org/officeDocument/2006/relationships/worksheet" Target="/xl/worksheets/sheet5.xml" Id="Reb56a78b68b340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247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" hidden="0" customWidth="1"/>
    <x:col min="19" max="19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2"/>
      <x:c r="B2" s="2"/>
      <x:c r="C2" s="4" t="str">
        <x:v>Contractor platform financial plan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2"/>
      <x:c r="S3" s="2"/>
    </x:row>
    <x:row r="4" ht="21" customHeight="1">
      <x:c r="A4" s="2"/>
      <x:c r="B4" s="2"/>
      <x:c r="C4" s="2" t="str">
        <x:v>Case Selected:</x:v>
      </x:c>
      <x:c r="D4" s="8" t="str">
        <x:f>CHOOSE('Assumptions'!$D$4,"Downside","Base","Capacity")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1" customHeight="1">
      <x:c r="A7" s="2"/>
      <x:c r="B7" s="2"/>
      <x:c r="C7" s="16" t="str">
        <x:v>Year 1 results</x:v>
      </x:c>
      <x:c r="D7" s="16" t="str">
        <x:v>CAD / people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1" customHeight="1">
      <x:c r="A8" s="2"/>
      <x:c r="B8" s="2"/>
      <x:c r="C8" s="2" t="str">
        <x:v>Paid pilot starts</x:v>
      </x:c>
      <x:c r="D8" s="61" t="n">
        <x:f>'Forecast'!D9</x:f>
        <x:v>37</x:v>
      </x:c>
      <x:c r="E8" s="3"/>
      <x:c r="F8" s="44" t="str">
        <x:v>Decision context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 ht="21" customHeight="1">
      <x:c r="A9" s="2"/>
      <x:c r="B9" s="2"/>
      <x:c r="C9" s="24" t="str">
        <x:v>Recognized revenue</x:v>
      </x:c>
      <x:c r="D9" s="71" t="n">
        <x:f>'Forecast'!D24</x:f>
        <x:v>159768.3402822818</x:v>
      </x:c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</x:row>
    <x:row r="10" ht="21" customHeight="1">
      <x:c r="A10" s="2"/>
      <x:c r="B10" s="2"/>
      <x:c r="C10" s="2" t="str">
        <x:v>Net customer collections</x:v>
      </x:c>
      <x:c r="D10" s="63" t="n">
        <x:f>'Forecast'!D20</x:f>
        <x:v>206468.35112581644</x:v>
      </x:c>
      <x:c r="E10" s="3"/>
      <x:c r="F10" s="3" t="str">
        <x:v>Prices and demand are unvalidated.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</x:row>
    <x:row r="11" ht="21" customHeight="1">
      <x:c r="A11" s="2"/>
      <x:c r="B11" s="2"/>
      <x:c r="C11" s="2" t="str">
        <x:v>Gross profit</x:v>
      </x:c>
      <x:c r="D11" s="63" t="n">
        <x:f>'Forecast'!D34</x:f>
        <x:v>96502.39510679047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</x:row>
    <x:row r="12" ht="21" customHeight="1">
      <x:c r="A12" s="2"/>
      <x:c r="B12" s="2"/>
      <x:c r="C12" s="2" t="str">
        <x:v>Gross margin</x:v>
      </x:c>
      <x:c r="D12" s="72" t="n">
        <x:f>'Forecast'!D35</x:f>
        <x:v>0.604014505854465</x:v>
      </x:c>
      <x:c r="E12" s="3"/>
      <x:c r="F12" s="3" t="str">
        <x:v>Forecast sells only the pilot and Professional.</x:v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 ht="21" customHeight="1">
      <x:c r="A13" s="2"/>
      <x:c r="B13" s="2"/>
      <x:c r="C13" s="2" t="str">
        <x:v>Customer acquisition cost</x:v>
      </x:c>
      <x:c r="D13" s="63" t="n">
        <x:f>'Forecast'!D37</x:f>
        <x:v>33300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</x:row>
    <x:row r="14" ht="21" customHeight="1">
      <x:c r="A14" s="2"/>
      <x:c r="B14" s="2"/>
      <x:c r="C14" s="2" t="str">
        <x:v>Fixed operating expenses</x:v>
      </x:c>
      <x:c r="D14" s="63" t="n">
        <x:f>SUM('Forecast'!D38:D41)</x:f>
        <x:v>123000</x:v>
      </x:c>
      <x:c r="E14" s="3"/>
      <x:c r="F14" s="3" t="str">
        <x:v>Capacity case requires qualified experts.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 ht="21" customHeight="1">
      <x:c r="A15" s="2"/>
      <x:c r="B15" s="2"/>
      <x:c r="C15" s="24" t="str">
        <x:v>Operating profit / (loss)</x:v>
      </x:c>
      <x:c r="D15" s="71" t="n">
        <x:f>'Forecast'!D44</x:f>
        <x:v>-59797.604893209544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 ht="21" customHeight="1">
      <x:c r="A16" s="2"/>
      <x:c r="B16" s="2"/>
      <x:c r="C16" s="2"/>
      <x:c r="D16" s="3"/>
      <x:c r="E16" s="3"/>
      <x:c r="F16" s="3" t="str">
        <x:v>Revenue is earned as service is delivered.</x:v>
      </x:c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 ht="21" customHeight="1">
      <x:c r="A17" s="2"/>
      <x:c r="B17" s="2"/>
      <x:c r="C17" s="2" t="str">
        <x:v>M12 continuing members</x:v>
      </x:c>
      <x:c r="D17" s="61" t="n">
        <x:f>'Forecast'!Q12</x:f>
        <x:v>15.206359817258338</x:v>
      </x:c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 ht="21" customHeight="1">
      <x:c r="A18" s="2"/>
      <x:c r="B18" s="2"/>
      <x:c r="C18" s="2" t="str">
        <x:v>M12 active pilots</x:v>
      </x:c>
      <x:c r="D18" s="61" t="n">
        <x:f>'Forecast'!Q11</x:f>
        <x:v>10</x:v>
      </x:c>
      <x:c r="E18" s="3"/>
      <x:c r="F18" s="3" t="str">
        <x:v>Advance cash includes future obligations.</x:v>
      </x:c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  <x:row r="19" ht="21" customHeight="1">
      <x:c r="A19" s="2"/>
      <x:c r="B19" s="2"/>
      <x:c r="C19" s="2" t="str">
        <x:v>M12 annualized member revenue</x:v>
      </x:c>
      <x:c r="D19" s="63" t="n">
        <x:f>'Forecast'!Q23*'Assumptions'!F45</x:f>
        <x:v>164228.68602639006</x:v>
      </x:c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</x:row>
    <x:row r="20" ht="21" customHeight="1">
      <x:c r="A20" s="2"/>
      <x:c r="B20" s="2"/>
      <x:c r="C20" s="2"/>
      <x:c r="D20" s="3"/>
      <x:c r="E20" s="3"/>
      <x:c r="F20" s="3" t="str">
        <x:v>Annualized M12 revenue is not Year1 revenue.</x:v>
      </x:c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 ht="21" customHeight="1">
      <x:c r="A21" s="2"/>
      <x:c r="B21" s="2"/>
      <x:c r="C21" s="2" t="str">
        <x:v>Closing cash</x:v>
      </x:c>
      <x:c r="D21" s="63" t="n">
        <x:f>'Forecast'!Q48</x:f>
        <x:v>86902.40595032509</x:v>
      </x:c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</x:row>
    <x:row r="22" ht="21" customHeight="1">
      <x:c r="A22" s="2"/>
      <x:c r="B22" s="2"/>
      <x:c r="C22" s="2" t="str">
        <x:v>Unearned service balance</x:v>
      </x:c>
      <x:c r="D22" s="63" t="n">
        <x:f>'Forecast'!Q51</x:f>
        <x:v>46700.01084353463</x:v>
      </x:c>
      <x:c r="E22" s="3"/>
      <x:c r="F22" s="3" t="str">
        <x:v>No first annual renewals occur in this horizon.</x:v>
      </x:c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 ht="21" customHeight="1">
      <x:c r="A23" s="2"/>
      <x:c r="B23" s="2"/>
      <x:c r="C23" s="24" t="str">
        <x:v>Cash less unearned services</x:v>
      </x:c>
      <x:c r="D23" s="71" t="n">
        <x:f>'Forecast'!Q52</x:f>
        <x:v>40202.39510679046</x:v>
      </x:c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 ht="21" customHeight="1">
      <x:c r="A24" s="2"/>
      <x:c r="B24" s="2"/>
      <x:c r="C24" s="2"/>
      <x:c r="D24" s="3"/>
      <x:c r="E24" s="3"/>
      <x:c r="F24" s="3" t="str">
        <x:v>Funding includes a CAD15,000 operating buffer.</x:v>
      </x:c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 ht="21" customHeight="1">
      <x:c r="A25" s="2"/>
      <x:c r="B25" s="2"/>
      <x:c r="C25" s="2" t="str">
        <x:v>Peak-deficit funding + buffer</x:v>
      </x:c>
      <x:c r="D25" s="63" t="n">
        <x:f>'Forecast'!D61</x:f>
        <x:v>62011.5</x:v>
      </x:c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 ht="21" customHeight="1">
      <x:c r="A26" s="2"/>
      <x:c r="B26" s="2"/>
      <x:c r="C26" s="24" t="str">
        <x:v>Funding protecting all prepayments</x:v>
      </x:c>
      <x:c r="D26" s="71" t="n">
        <x:f>'Forecast'!D62</x:f>
        <x:v>80840.07687169113</x:v>
      </x:c>
      <x:c r="E26" s="3"/>
      <x:c r="F26" s="3" t="str">
        <x:v>Change the case number on Assumptions.</x:v>
      </x:c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 ht="21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 ht="21" customHeight="1">
      <x:c r="A28" s="2"/>
      <x:c r="B28" s="2"/>
      <x:c r="C28" s="2" t="str">
        <x:v>M12 coach / domain hours</x:v>
      </x:c>
      <x:c r="D28" s="61" t="n">
        <x:f>'Forecast'!Q57</x:f>
        <x:v>55.809539725887504</x:v>
      </x:c>
      <x:c r="E28" s="3"/>
      <x:c r="F28" s="3" t="str">
        <x:v>Future premium tiers are modeled on Unit economics.</x:v>
      </x:c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 ht="21" customHeight="1">
      <x:c r="A29" s="2"/>
      <x:c r="B29" s="2"/>
      <x:c r="C29" s="2" t="str">
        <x:v>M12 expert capacity units</x:v>
      </x:c>
      <x:c r="D29" s="61" t="n">
        <x:f>'Forecast'!Q58</x:f>
        <x:v>0.8720240582169922</x:v>
      </x:c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 ht="21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 ht="21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 ht="21" customHeight="1">
      <x:c r="A32" s="2"/>
      <x:c r="B32" s="2"/>
      <x:c r="C32" s="2" t="str">
        <x:v>Read cash together with unearned services. Retain enough funds to deliver or refund them.</x:v>
      </x:c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 ht="21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 ht="21" customHeight="1">
      <x:c r="A34" s="2"/>
      <x:c r="B34" s="2"/>
      <x:c r="C34" s="2" t="str">
        <x:v>Gross margin excludes acquisition and fixed operating costs. Founder management is included.</x:v>
      </x:c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 ht="21" customHeight="1">
      <x:c r="A35" s="2"/>
      <x:c r="B35" s="2"/>
      <x:c r="C35" s="2" t="str">
        <x:v>Sales taxes, financing, corporate income tax and foreign exchange are excluded.</x:v>
      </x:c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 ht="21" customHeight="1">
      <x:c r="A36" s="2"/>
      <x:c r="B36" s="2"/>
      <x:c r="C36" s="2" t="str">
        <x:v>Client-specific tax and revenue-recognition treatment require professional review.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 ht="21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 ht="21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 ht="21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 ht="21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 ht="21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 ht="21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 ht="21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 ht="21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 ht="21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 ht="21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 ht="21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 ht="21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 ht="21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 ht="21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 ht="21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 ht="21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 ht="21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 ht="21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 ht="21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 ht="21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 ht="21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 ht="21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 ht="21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 ht="21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 ht="21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 ht="21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 ht="21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 ht="21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 ht="21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 ht="21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 ht="21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 ht="21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 ht="21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 ht="21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 ht="21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 ht="21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 ht="21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 ht="21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 ht="21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 ht="21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 ht="21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 ht="21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 ht="21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 ht="21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</x:sheetData>
  <x:conditionalFormatting sqref="D15:D15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788D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" hidden="0" customWidth="1"/>
    <x:col min="19" max="19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2"/>
      <x:c r="B2" s="2"/>
      <x:c r="C2" s="4" t="str">
        <x:v>Editable forecast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2"/>
      <x:c r="S3" s="2"/>
    </x:row>
    <x:row r="4" ht="21" customHeight="1">
      <x:c r="A4" s="2"/>
      <x:c r="B4" s="2"/>
      <x:c r="C4" s="2" t="str">
        <x:v>Case Selected:</x:v>
      </x:c>
      <x:c r="D4" s="11" t="n">
        <x:v>2</x:v>
      </x:c>
      <x:c r="E4" s="2"/>
      <x:c r="F4" s="2" t="str">
        <x:v>1 Downside   2 Base   3 Capacity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1" customHeight="1">
      <x:c r="A6" s="2"/>
      <x:c r="B6" s="2"/>
      <x:c r="C6" s="2" t="str">
        <x:v>Planning hypotheses. Blue numbers on amber are editable.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1" customHeight="1">
      <x:c r="A8" s="2"/>
      <x:c r="B8" s="2"/>
      <x:c r="C8" s="19"/>
      <x:c r="D8" s="20"/>
      <x:c r="E8" s="20"/>
      <x:c r="F8" s="21" t="n">
        <x:v>1</x:v>
      </x:c>
      <x:c r="G8" s="21" t="n">
        <x:v>2</x:v>
      </x:c>
      <x:c r="H8" s="21" t="n">
        <x:v>3</x:v>
      </x:c>
      <x:c r="I8" s="21" t="n">
        <x:v>4</x:v>
      </x:c>
      <x:c r="J8" s="21" t="n">
        <x:v>5</x:v>
      </x:c>
      <x:c r="K8" s="21" t="n">
        <x:v>6</x:v>
      </x:c>
      <x:c r="L8" s="21" t="n">
        <x:v>7</x:v>
      </x:c>
      <x:c r="M8" s="21" t="n">
        <x:v>8</x:v>
      </x:c>
      <x:c r="N8" s="21" t="n">
        <x:v>9</x:v>
      </x:c>
      <x:c r="O8" s="21" t="n">
        <x:v>10</x:v>
      </x:c>
      <x:c r="P8" s="21" t="n">
        <x:v>11</x:v>
      </x:c>
      <x:c r="Q8" s="21" t="n">
        <x:v>12</x:v>
      </x:c>
      <x:c r="R8" s="3"/>
      <x:c r="S8" s="3"/>
    </x:row>
    <x:row r="9" ht="21" customHeight="1">
      <x:c r="A9" s="2"/>
      <x:c r="B9" s="2"/>
      <x:c r="C9" s="24" t="str">
        <x:v>Paid pilot starts — Active</x:v>
      </x:c>
      <x:c r="D9" s="25"/>
      <x:c r="E9" s="25"/>
      <x:c r="F9" s="28" t="n">
        <x:f>IF(CHOOSE($D$4,ISBLANK(F10),ISBLANK(F11),ISBLANK(F12)),NA(),CHOOSE($D$4,F10,F11,F12))</x:f>
        <x:v>0</x:v>
      </x:c>
      <x:c r="G9" s="28" t="n">
        <x:f>IF(CHOOSE($D$4,ISBLANK(G10),ISBLANK(G11),ISBLANK(G12)),NA(),CHOOSE($D$4,G10,G11,G12))</x:f>
        <x:v>0</x:v>
      </x:c>
      <x:c r="H9" s="28" t="n">
        <x:f>IF(CHOOSE($D$4,ISBLANK(H10),ISBLANK(H11),ISBLANK(H12)),NA(),CHOOSE($D$4,H10,H11,H12))</x:f>
        <x:v>5</x:v>
      </x:c>
      <x:c r="I9" s="28" t="n">
        <x:f>IF(CHOOSE($D$4,ISBLANK(I10),ISBLANK(I11),ISBLANK(I12)),NA(),CHOOSE($D$4,I10,I11,I12))</x:f>
        <x:v>0</x:v>
      </x:c>
      <x:c r="J9" s="28" t="n">
        <x:f>IF(CHOOSE($D$4,ISBLANK(J10),ISBLANK(J11),ISBLANK(J12)),NA(),CHOOSE($D$4,J10,J11,J12))</x:f>
        <x:v>5</x:v>
      </x:c>
      <x:c r="K9" s="28" t="n">
        <x:f>IF(CHOOSE($D$4,ISBLANK(K10),ISBLANK(K11),ISBLANK(K12)),NA(),CHOOSE($D$4,K10,K11,K12))</x:f>
        <x:v>2</x:v>
      </x:c>
      <x:c r="L9" s="28" t="n">
        <x:f>IF(CHOOSE($D$4,ISBLANK(L10),ISBLANK(L11),ISBLANK(L12)),NA(),CHOOSE($D$4,L10,L11,L12))</x:f>
        <x:v>3</x:v>
      </x:c>
      <x:c r="M9" s="28" t="n">
        <x:f>IF(CHOOSE($D$4,ISBLANK(M10),ISBLANK(M11),ISBLANK(M12)),NA(),CHOOSE($D$4,M10,M11,M12))</x:f>
        <x:v>4</x:v>
      </x:c>
      <x:c r="N9" s="28" t="n">
        <x:f>IF(CHOOSE($D$4,ISBLANK(N10),ISBLANK(N11),ISBLANK(N12)),NA(),CHOOSE($D$4,N10,N11,N12))</x:f>
        <x:v>4</x:v>
      </x:c>
      <x:c r="O9" s="28" t="n">
        <x:f>IF(CHOOSE($D$4,ISBLANK(O10),ISBLANK(O11),ISBLANK(O12)),NA(),CHOOSE($D$4,O10,O11,O12))</x:f>
        <x:v>4</x:v>
      </x:c>
      <x:c r="P9" s="28" t="n">
        <x:f>IF(CHOOSE($D$4,ISBLANK(P10),ISBLANK(P11),ISBLANK(P12)),NA(),CHOOSE($D$4,P10,P11,P12))</x:f>
        <x:v>5</x:v>
      </x:c>
      <x:c r="Q9" s="28" t="n">
        <x:f>IF(CHOOSE($D$4,ISBLANK(Q10),ISBLANK(Q11),ISBLANK(Q12)),NA(),CHOOSE($D$4,Q10,Q11,Q12))</x:f>
        <x:v>5</x:v>
      </x:c>
      <x:c r="R9" s="3"/>
      <x:c r="S9" s="3"/>
    </x:row>
    <x:row r="10" ht="21" customHeight="1">
      <x:c r="A10" s="2"/>
      <x:c r="B10" s="2"/>
      <x:c r="C10" s="2" t="str">
        <x:v>Downside</x:v>
      </x:c>
      <x:c r="D10" s="3"/>
      <x:c r="E10" s="3"/>
      <x:c r="F10" s="27" t="n">
        <x:v>0</x:v>
      </x:c>
      <x:c r="G10" s="27" t="n">
        <x:v>0</x:v>
      </x:c>
      <x:c r="H10" s="27" t="n">
        <x:v>3</x:v>
      </x:c>
      <x:c r="I10" s="27" t="n">
        <x:v>0</x:v>
      </x:c>
      <x:c r="J10" s="27" t="n">
        <x:v>3</x:v>
      </x:c>
      <x:c r="K10" s="27" t="n">
        <x:v>0</x:v>
      </x:c>
      <x:c r="L10" s="27" t="n">
        <x:v>3</x:v>
      </x:c>
      <x:c r="M10" s="27" t="n">
        <x:v>0</x:v>
      </x:c>
      <x:c r="N10" s="27" t="n">
        <x:v>3</x:v>
      </x:c>
      <x:c r="O10" s="27" t="n">
        <x:v>0</x:v>
      </x:c>
      <x:c r="P10" s="27" t="n">
        <x:v>3</x:v>
      </x:c>
      <x:c r="Q10" s="27" t="n">
        <x:v>0</x:v>
      </x:c>
      <x:c r="R10" s="3"/>
      <x:c r="S10" s="3"/>
    </x:row>
    <x:row r="11" ht="21" customHeight="1">
      <x:c r="A11" s="2"/>
      <x:c r="B11" s="2"/>
      <x:c r="C11" s="2" t="str">
        <x:v>Base</x:v>
      </x:c>
      <x:c r="D11" s="3"/>
      <x:c r="E11" s="3"/>
      <x:c r="F11" s="27" t="n">
        <x:v>0</x:v>
      </x:c>
      <x:c r="G11" s="27" t="n">
        <x:v>0</x:v>
      </x:c>
      <x:c r="H11" s="27" t="n">
        <x:v>5</x:v>
      </x:c>
      <x:c r="I11" s="27" t="n">
        <x:v>0</x:v>
      </x:c>
      <x:c r="J11" s="27" t="n">
        <x:v>5</x:v>
      </x:c>
      <x:c r="K11" s="27" t="n">
        <x:v>2</x:v>
      </x:c>
      <x:c r="L11" s="27" t="n">
        <x:v>3</x:v>
      </x:c>
      <x:c r="M11" s="27" t="n">
        <x:v>4</x:v>
      </x:c>
      <x:c r="N11" s="27" t="n">
        <x:v>4</x:v>
      </x:c>
      <x:c r="O11" s="27" t="n">
        <x:v>4</x:v>
      </x:c>
      <x:c r="P11" s="27" t="n">
        <x:v>5</x:v>
      </x:c>
      <x:c r="Q11" s="27" t="n">
        <x:v>5</x:v>
      </x:c>
      <x:c r="R11" s="3"/>
      <x:c r="S11" s="3"/>
    </x:row>
    <x:row r="12" ht="21" customHeight="1">
      <x:c r="A12" s="2"/>
      <x:c r="B12" s="2"/>
      <x:c r="C12" s="2" t="str">
        <x:v>Capacity</x:v>
      </x:c>
      <x:c r="D12" s="3"/>
      <x:c r="E12" s="3"/>
      <x:c r="F12" s="27" t="n">
        <x:v>0</x:v>
      </x:c>
      <x:c r="G12" s="27" t="n">
        <x:v>0</x:v>
      </x:c>
      <x:c r="H12" s="27" t="n">
        <x:v>5</x:v>
      </x:c>
      <x:c r="I12" s="27" t="n">
        <x:v>5</x:v>
      </x:c>
      <x:c r="J12" s="27" t="n">
        <x:v>6</x:v>
      </x:c>
      <x:c r="K12" s="27" t="n">
        <x:v>6</x:v>
      </x:c>
      <x:c r="L12" s="27" t="n">
        <x:v>8</x:v>
      </x:c>
      <x:c r="M12" s="27" t="n">
        <x:v>8</x:v>
      </x:c>
      <x:c r="N12" s="27" t="n">
        <x:v>10</x:v>
      </x:c>
      <x:c r="O12" s="27" t="n">
        <x:v>10</x:v>
      </x:c>
      <x:c r="P12" s="27" t="n">
        <x:v>12</x:v>
      </x:c>
      <x:c r="Q12" s="27" t="n">
        <x:v>12</x:v>
      </x:c>
      <x:c r="R12" s="3"/>
      <x:c r="S12" s="3"/>
    </x:row>
    <x:row r="13" ht="21" customHeight="1">
      <x:c r="A13" s="2"/>
      <x:c r="B13" s="2"/>
      <x:c r="C13" s="2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</x:row>
    <x:row r="14" ht="21" customHeight="1">
      <x:c r="A14" s="2"/>
      <x:c r="B14" s="2"/>
      <x:c r="C14" s="24" t="str">
        <x:v>Pilot conversion rate — Active</x:v>
      </x:c>
      <x:c r="D14" s="25"/>
      <x:c r="E14" s="25"/>
      <x:c r="F14" s="30" t="n">
        <x:f>IF(CHOOSE($D$4,ISBLANK(F15),ISBLANK(F16),ISBLANK(F17)),NA(),CHOOSE($D$4,F15,F16,F17))</x:f>
        <x:v>0.6</x:v>
      </x:c>
      <x:c r="G14" s="30" t="n">
        <x:f>IF(CHOOSE($D$4,ISBLANK(G15),ISBLANK(G16),ISBLANK(G17)),NA(),CHOOSE($D$4,G15,G16,G17))</x:f>
        <x:v>0.6</x:v>
      </x:c>
      <x:c r="H14" s="30" t="n">
        <x:f>IF(CHOOSE($D$4,ISBLANK(H15),ISBLANK(H16),ISBLANK(H17)),NA(),CHOOSE($D$4,H15,H16,H17))</x:f>
        <x:v>0.6</x:v>
      </x:c>
      <x:c r="I14" s="30" t="n">
        <x:f>IF(CHOOSE($D$4,ISBLANK(I15),ISBLANK(I16),ISBLANK(I17)),NA(),CHOOSE($D$4,I15,I16,I17))</x:f>
        <x:v>0.6</x:v>
      </x:c>
      <x:c r="J14" s="30" t="n">
        <x:f>IF(CHOOSE($D$4,ISBLANK(J15),ISBLANK(J16),ISBLANK(J17)),NA(),CHOOSE($D$4,J15,J16,J17))</x:f>
        <x:v>0.6</x:v>
      </x:c>
      <x:c r="K14" s="30" t="n">
        <x:f>IF(CHOOSE($D$4,ISBLANK(K15),ISBLANK(K16),ISBLANK(K17)),NA(),CHOOSE($D$4,K15,K16,K17))</x:f>
        <x:v>0.6</x:v>
      </x:c>
      <x:c r="L14" s="30" t="n">
        <x:f>IF(CHOOSE($D$4,ISBLANK(L15),ISBLANK(L16),ISBLANK(L17)),NA(),CHOOSE($D$4,L15,L16,L17))</x:f>
        <x:v>0.6</x:v>
      </x:c>
      <x:c r="M14" s="30" t="n">
        <x:f>IF(CHOOSE($D$4,ISBLANK(M15),ISBLANK(M16),ISBLANK(M17)),NA(),CHOOSE($D$4,M15,M16,M17))</x:f>
        <x:v>0.6</x:v>
      </x:c>
      <x:c r="N14" s="30" t="n">
        <x:f>IF(CHOOSE($D$4,ISBLANK(N15),ISBLANK(N16),ISBLANK(N17)),NA(),CHOOSE($D$4,N15,N16,N17))</x:f>
        <x:v>0.6</x:v>
      </x:c>
      <x:c r="O14" s="30" t="n">
        <x:f>IF(CHOOSE($D$4,ISBLANK(O15),ISBLANK(O16),ISBLANK(O17)),NA(),CHOOSE($D$4,O15,O16,O17))</x:f>
        <x:v>0.6</x:v>
      </x:c>
      <x:c r="P14" s="30" t="n">
        <x:f>IF(CHOOSE($D$4,ISBLANK(P15),ISBLANK(P16),ISBLANK(P17)),NA(),CHOOSE($D$4,P15,P16,P17))</x:f>
        <x:v>0.6</x:v>
      </x:c>
      <x:c r="Q14" s="30" t="n">
        <x:f>IF(CHOOSE($D$4,ISBLANK(Q15),ISBLANK(Q16),ISBLANK(Q17)),NA(),CHOOSE($D$4,Q15,Q16,Q17))</x:f>
        <x:v>0.6</x:v>
      </x:c>
      <x:c r="R14" s="3"/>
      <x:c r="S14" s="3"/>
    </x:row>
    <x:row r="15" ht="21" customHeight="1">
      <x:c r="A15" s="2"/>
      <x:c r="B15" s="2"/>
      <x:c r="C15" s="2" t="str">
        <x:v>Downside</x:v>
      </x:c>
      <x:c r="D15" s="3"/>
      <x:c r="E15" s="3"/>
      <x:c r="F15" s="29" t="n">
        <x:v>0.35</x:v>
      </x:c>
      <x:c r="G15" s="29" t="n">
        <x:v>0.35</x:v>
      </x:c>
      <x:c r="H15" s="29" t="n">
        <x:v>0.35</x:v>
      </x:c>
      <x:c r="I15" s="29" t="n">
        <x:v>0.35</x:v>
      </x:c>
      <x:c r="J15" s="29" t="n">
        <x:v>0.35</x:v>
      </x:c>
      <x:c r="K15" s="29" t="n">
        <x:v>0.35</x:v>
      </x:c>
      <x:c r="L15" s="29" t="n">
        <x:v>0.35</x:v>
      </x:c>
      <x:c r="M15" s="29" t="n">
        <x:v>0.35</x:v>
      </x:c>
      <x:c r="N15" s="29" t="n">
        <x:v>0.35</x:v>
      </x:c>
      <x:c r="O15" s="29" t="n">
        <x:v>0.35</x:v>
      </x:c>
      <x:c r="P15" s="29" t="n">
        <x:v>0.35</x:v>
      </x:c>
      <x:c r="Q15" s="29" t="n">
        <x:v>0.35</x:v>
      </x:c>
      <x:c r="R15" s="3"/>
      <x:c r="S15" s="3"/>
    </x:row>
    <x:row r="16" ht="21" customHeight="1">
      <x:c r="A16" s="2"/>
      <x:c r="B16" s="2"/>
      <x:c r="C16" s="2" t="str">
        <x:v>Base</x:v>
      </x:c>
      <x:c r="D16" s="3"/>
      <x:c r="E16" s="3"/>
      <x:c r="F16" s="29" t="n">
        <x:v>0.6</x:v>
      </x:c>
      <x:c r="G16" s="29" t="n">
        <x:v>0.6</x:v>
      </x:c>
      <x:c r="H16" s="29" t="n">
        <x:v>0.6</x:v>
      </x:c>
      <x:c r="I16" s="29" t="n">
        <x:v>0.6</x:v>
      </x:c>
      <x:c r="J16" s="29" t="n">
        <x:v>0.6</x:v>
      </x:c>
      <x:c r="K16" s="29" t="n">
        <x:v>0.6</x:v>
      </x:c>
      <x:c r="L16" s="29" t="n">
        <x:v>0.6</x:v>
      </x:c>
      <x:c r="M16" s="29" t="n">
        <x:v>0.6</x:v>
      </x:c>
      <x:c r="N16" s="29" t="n">
        <x:v>0.6</x:v>
      </x:c>
      <x:c r="O16" s="29" t="n">
        <x:v>0.6</x:v>
      </x:c>
      <x:c r="P16" s="29" t="n">
        <x:v>0.6</x:v>
      </x:c>
      <x:c r="Q16" s="29" t="n">
        <x:v>0.6</x:v>
      </x:c>
      <x:c r="R16" s="3"/>
      <x:c r="S16" s="3"/>
    </x:row>
    <x:row r="17" ht="21" customHeight="1">
      <x:c r="A17" s="2"/>
      <x:c r="B17" s="2"/>
      <x:c r="C17" s="2" t="str">
        <x:v>Capacity</x:v>
      </x:c>
      <x:c r="D17" s="3"/>
      <x:c r="E17" s="3"/>
      <x:c r="F17" s="29" t="n">
        <x:v>0.7</x:v>
      </x:c>
      <x:c r="G17" s="29" t="n">
        <x:v>0.7</x:v>
      </x:c>
      <x:c r="H17" s="29" t="n">
        <x:v>0.7</x:v>
      </x:c>
      <x:c r="I17" s="29" t="n">
        <x:v>0.7</x:v>
      </x:c>
      <x:c r="J17" s="29" t="n">
        <x:v>0.7</x:v>
      </x:c>
      <x:c r="K17" s="29" t="n">
        <x:v>0.7</x:v>
      </x:c>
      <x:c r="L17" s="29" t="n">
        <x:v>0.7</x:v>
      </x:c>
      <x:c r="M17" s="29" t="n">
        <x:v>0.7</x:v>
      </x:c>
      <x:c r="N17" s="29" t="n">
        <x:v>0.7</x:v>
      </x:c>
      <x:c r="O17" s="29" t="n">
        <x:v>0.7</x:v>
      </x:c>
      <x:c r="P17" s="29" t="n">
        <x:v>0.7</x:v>
      </x:c>
      <x:c r="Q17" s="29" t="n">
        <x:v>0.7</x:v>
      </x:c>
      <x:c r="R17" s="3"/>
      <x:c r="S17" s="3"/>
    </x:row>
    <x:row r="18" ht="21" customHeight="1">
      <x:c r="A18" s="2"/>
      <x:c r="B18" s="2"/>
      <x:c r="C18" s="2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  <x:row r="19" ht="21" customHeight="1">
      <x:c r="A19" s="2"/>
      <x:c r="B19" s="2"/>
      <x:c r="C19" s="24" t="str">
        <x:v>Pilot refund rate — Active</x:v>
      </x:c>
      <x:c r="D19" s="25"/>
      <x:c r="E19" s="25"/>
      <x:c r="F19" s="30" t="n">
        <x:f>IF(CHOOSE($D$4,ISBLANK(F20),ISBLANK(F21),ISBLANK(F22)),NA(),CHOOSE($D$4,F20,F21,F22))</x:f>
        <x:v>0.03</x:v>
      </x:c>
      <x:c r="G19" s="30" t="n">
        <x:f>IF(CHOOSE($D$4,ISBLANK(G20),ISBLANK(G21),ISBLANK(G22)),NA(),CHOOSE($D$4,G20,G21,G22))</x:f>
        <x:v>0.03</x:v>
      </x:c>
      <x:c r="H19" s="30" t="n">
        <x:f>IF(CHOOSE($D$4,ISBLANK(H20),ISBLANK(H21),ISBLANK(H22)),NA(),CHOOSE($D$4,H20,H21,H22))</x:f>
        <x:v>0.03</x:v>
      </x:c>
      <x:c r="I19" s="30" t="n">
        <x:f>IF(CHOOSE($D$4,ISBLANK(I20),ISBLANK(I21),ISBLANK(I22)),NA(),CHOOSE($D$4,I20,I21,I22))</x:f>
        <x:v>0.03</x:v>
      </x:c>
      <x:c r="J19" s="30" t="n">
        <x:f>IF(CHOOSE($D$4,ISBLANK(J20),ISBLANK(J21),ISBLANK(J22)),NA(),CHOOSE($D$4,J20,J21,J22))</x:f>
        <x:v>0.03</x:v>
      </x:c>
      <x:c r="K19" s="30" t="n">
        <x:f>IF(CHOOSE($D$4,ISBLANK(K20),ISBLANK(K21),ISBLANK(K22)),NA(),CHOOSE($D$4,K20,K21,K22))</x:f>
        <x:v>0.03</x:v>
      </x:c>
      <x:c r="L19" s="30" t="n">
        <x:f>IF(CHOOSE($D$4,ISBLANK(L20),ISBLANK(L21),ISBLANK(L22)),NA(),CHOOSE($D$4,L20,L21,L22))</x:f>
        <x:v>0.03</x:v>
      </x:c>
      <x:c r="M19" s="30" t="n">
        <x:f>IF(CHOOSE($D$4,ISBLANK(M20),ISBLANK(M21),ISBLANK(M22)),NA(),CHOOSE($D$4,M20,M21,M22))</x:f>
        <x:v>0.03</x:v>
      </x:c>
      <x:c r="N19" s="30" t="n">
        <x:f>IF(CHOOSE($D$4,ISBLANK(N20),ISBLANK(N21),ISBLANK(N22)),NA(),CHOOSE($D$4,N20,N21,N22))</x:f>
        <x:v>0.03</x:v>
      </x:c>
      <x:c r="O19" s="30" t="n">
        <x:f>IF(CHOOSE($D$4,ISBLANK(O20),ISBLANK(O21),ISBLANK(O22)),NA(),CHOOSE($D$4,O20,O21,O22))</x:f>
        <x:v>0.03</x:v>
      </x:c>
      <x:c r="P19" s="30" t="n">
        <x:f>IF(CHOOSE($D$4,ISBLANK(P20),ISBLANK(P21),ISBLANK(P22)),NA(),CHOOSE($D$4,P20,P21,P22))</x:f>
        <x:v>0.03</x:v>
      </x:c>
      <x:c r="Q19" s="30" t="n">
        <x:f>IF(CHOOSE($D$4,ISBLANK(Q20),ISBLANK(Q21),ISBLANK(Q22)),NA(),CHOOSE($D$4,Q20,Q21,Q22))</x:f>
        <x:v>0.03</x:v>
      </x:c>
      <x:c r="R19" s="3"/>
      <x:c r="S19" s="3"/>
    </x:row>
    <x:row r="20" ht="21" customHeight="1">
      <x:c r="A20" s="2"/>
      <x:c r="B20" s="2"/>
      <x:c r="C20" s="2" t="str">
        <x:v>Downside</x:v>
      </x:c>
      <x:c r="D20" s="3"/>
      <x:c r="E20" s="3"/>
      <x:c r="F20" s="29" t="n">
        <x:v>0.08</x:v>
      </x:c>
      <x:c r="G20" s="29" t="n">
        <x:v>0.08</x:v>
      </x:c>
      <x:c r="H20" s="29" t="n">
        <x:v>0.08</x:v>
      </x:c>
      <x:c r="I20" s="29" t="n">
        <x:v>0.08</x:v>
      </x:c>
      <x:c r="J20" s="29" t="n">
        <x:v>0.08</x:v>
      </x:c>
      <x:c r="K20" s="29" t="n">
        <x:v>0.08</x:v>
      </x:c>
      <x:c r="L20" s="29" t="n">
        <x:v>0.08</x:v>
      </x:c>
      <x:c r="M20" s="29" t="n">
        <x:v>0.08</x:v>
      </x:c>
      <x:c r="N20" s="29" t="n">
        <x:v>0.08</x:v>
      </x:c>
      <x:c r="O20" s="29" t="n">
        <x:v>0.08</x:v>
      </x:c>
      <x:c r="P20" s="29" t="n">
        <x:v>0.08</x:v>
      </x:c>
      <x:c r="Q20" s="29" t="n">
        <x:v>0.08</x:v>
      </x:c>
      <x:c r="R20" s="3"/>
      <x:c r="S20" s="3"/>
    </x:row>
    <x:row r="21" ht="21" customHeight="1">
      <x:c r="A21" s="2"/>
      <x:c r="B21" s="2"/>
      <x:c r="C21" s="2" t="str">
        <x:v>Base</x:v>
      </x:c>
      <x:c r="D21" s="3"/>
      <x:c r="E21" s="3"/>
      <x:c r="F21" s="29" t="n">
        <x:v>0.03</x:v>
      </x:c>
      <x:c r="G21" s="29" t="n">
        <x:v>0.03</x:v>
      </x:c>
      <x:c r="H21" s="29" t="n">
        <x:v>0.03</x:v>
      </x:c>
      <x:c r="I21" s="29" t="n">
        <x:v>0.03</x:v>
      </x:c>
      <x:c r="J21" s="29" t="n">
        <x:v>0.03</x:v>
      </x:c>
      <x:c r="K21" s="29" t="n">
        <x:v>0.03</x:v>
      </x:c>
      <x:c r="L21" s="29" t="n">
        <x:v>0.03</x:v>
      </x:c>
      <x:c r="M21" s="29" t="n">
        <x:v>0.03</x:v>
      </x:c>
      <x:c r="N21" s="29" t="n">
        <x:v>0.03</x:v>
      </x:c>
      <x:c r="O21" s="29" t="n">
        <x:v>0.03</x:v>
      </x:c>
      <x:c r="P21" s="29" t="n">
        <x:v>0.03</x:v>
      </x:c>
      <x:c r="Q21" s="29" t="n">
        <x:v>0.03</x:v>
      </x:c>
      <x:c r="R21" s="3"/>
      <x:c r="S21" s="3"/>
    </x:row>
    <x:row r="22" ht="21" customHeight="1">
      <x:c r="A22" s="2"/>
      <x:c r="B22" s="2"/>
      <x:c r="C22" s="2" t="str">
        <x:v>Capacity</x:v>
      </x:c>
      <x:c r="D22" s="3"/>
      <x:c r="E22" s="3"/>
      <x:c r="F22" s="29" t="n">
        <x:v>0.02</x:v>
      </x:c>
      <x:c r="G22" s="29" t="n">
        <x:v>0.02</x:v>
      </x:c>
      <x:c r="H22" s="29" t="n">
        <x:v>0.02</x:v>
      </x:c>
      <x:c r="I22" s="29" t="n">
        <x:v>0.02</x:v>
      </x:c>
      <x:c r="J22" s="29" t="n">
        <x:v>0.02</x:v>
      </x:c>
      <x:c r="K22" s="29" t="n">
        <x:v>0.02</x:v>
      </x:c>
      <x:c r="L22" s="29" t="n">
        <x:v>0.02</x:v>
      </x:c>
      <x:c r="M22" s="29" t="n">
        <x:v>0.02</x:v>
      </x:c>
      <x:c r="N22" s="29" t="n">
        <x:v>0.02</x:v>
      </x:c>
      <x:c r="O22" s="29" t="n">
        <x:v>0.02</x:v>
      </x:c>
      <x:c r="P22" s="29" t="n">
        <x:v>0.02</x:v>
      </x:c>
      <x:c r="Q22" s="29" t="n">
        <x:v>0.02</x:v>
      </x:c>
      <x:c r="R22" s="3"/>
      <x:c r="S22" s="3"/>
    </x:row>
    <x:row r="23" ht="21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 ht="21" customHeight="1">
      <x:c r="A24" s="2"/>
      <x:c r="B24" s="2"/>
      <x:c r="C24" s="24" t="str">
        <x:v>Approved early release / default — Active</x:v>
      </x:c>
      <x:c r="D24" s="25"/>
      <x:c r="E24" s="25"/>
      <x:c r="F24" s="30" t="n">
        <x:f>IF(CHOOSE($D$4,ISBLANK(F25),ISBLANK(F26),ISBLANK(F27)),NA(),CHOOSE($D$4,F25,F26,F27))</x:f>
        <x:v>0.01</x:v>
      </x:c>
      <x:c r="G24" s="30" t="n">
        <x:f>IF(CHOOSE($D$4,ISBLANK(G25),ISBLANK(G26),ISBLANK(G27)),NA(),CHOOSE($D$4,G25,G26,G27))</x:f>
        <x:v>0.01</x:v>
      </x:c>
      <x:c r="H24" s="30" t="n">
        <x:f>IF(CHOOSE($D$4,ISBLANK(H25),ISBLANK(H26),ISBLANK(H27)),NA(),CHOOSE($D$4,H25,H26,H27))</x:f>
        <x:v>0.01</x:v>
      </x:c>
      <x:c r="I24" s="30" t="n">
        <x:f>IF(CHOOSE($D$4,ISBLANK(I25),ISBLANK(I26),ISBLANK(I27)),NA(),CHOOSE($D$4,I25,I26,I27))</x:f>
        <x:v>0.01</x:v>
      </x:c>
      <x:c r="J24" s="30" t="n">
        <x:f>IF(CHOOSE($D$4,ISBLANK(J25),ISBLANK(J26),ISBLANK(J27)),NA(),CHOOSE($D$4,J25,J26,J27))</x:f>
        <x:v>0.01</x:v>
      </x:c>
      <x:c r="K24" s="30" t="n">
        <x:f>IF(CHOOSE($D$4,ISBLANK(K25),ISBLANK(K26),ISBLANK(K27)),NA(),CHOOSE($D$4,K25,K26,K27))</x:f>
        <x:v>0.01</x:v>
      </x:c>
      <x:c r="L24" s="30" t="n">
        <x:f>IF(CHOOSE($D$4,ISBLANK(L25),ISBLANK(L26),ISBLANK(L27)),NA(),CHOOSE($D$4,L25,L26,L27))</x:f>
        <x:v>0.01</x:v>
      </x:c>
      <x:c r="M24" s="30" t="n">
        <x:f>IF(CHOOSE($D$4,ISBLANK(M25),ISBLANK(M26),ISBLANK(M27)),NA(),CHOOSE($D$4,M25,M26,M27))</x:f>
        <x:v>0.01</x:v>
      </x:c>
      <x:c r="N24" s="30" t="n">
        <x:f>IF(CHOOSE($D$4,ISBLANK(N25),ISBLANK(N26),ISBLANK(N27)),NA(),CHOOSE($D$4,N25,N26,N27))</x:f>
        <x:v>0.01</x:v>
      </x:c>
      <x:c r="O24" s="30" t="n">
        <x:f>IF(CHOOSE($D$4,ISBLANK(O25),ISBLANK(O26),ISBLANK(O27)),NA(),CHOOSE($D$4,O25,O26,O27))</x:f>
        <x:v>0.01</x:v>
      </x:c>
      <x:c r="P24" s="30" t="n">
        <x:f>IF(CHOOSE($D$4,ISBLANK(P25),ISBLANK(P26),ISBLANK(P27)),NA(),CHOOSE($D$4,P25,P26,P27))</x:f>
        <x:v>0.01</x:v>
      </x:c>
      <x:c r="Q24" s="30" t="n">
        <x:f>IF(CHOOSE($D$4,ISBLANK(Q25),ISBLANK(Q26),ISBLANK(Q27)),NA(),CHOOSE($D$4,Q25,Q26,Q27))</x:f>
        <x:v>0.01</x:v>
      </x:c>
      <x:c r="R24" s="3"/>
      <x:c r="S24" s="3"/>
    </x:row>
    <x:row r="25" ht="21" customHeight="1">
      <x:c r="A25" s="2"/>
      <x:c r="B25" s="2"/>
      <x:c r="C25" s="2" t="str">
        <x:v>Downside</x:v>
      </x:c>
      <x:c r="D25" s="3"/>
      <x:c r="E25" s="3"/>
      <x:c r="F25" s="29" t="n">
        <x:v>0.025</x:v>
      </x:c>
      <x:c r="G25" s="29" t="n">
        <x:v>0.025</x:v>
      </x:c>
      <x:c r="H25" s="29" t="n">
        <x:v>0.025</x:v>
      </x:c>
      <x:c r="I25" s="29" t="n">
        <x:v>0.025</x:v>
      </x:c>
      <x:c r="J25" s="29" t="n">
        <x:v>0.025</x:v>
      </x:c>
      <x:c r="K25" s="29" t="n">
        <x:v>0.025</x:v>
      </x:c>
      <x:c r="L25" s="29" t="n">
        <x:v>0.025</x:v>
      </x:c>
      <x:c r="M25" s="29" t="n">
        <x:v>0.025</x:v>
      </x:c>
      <x:c r="N25" s="29" t="n">
        <x:v>0.025</x:v>
      </x:c>
      <x:c r="O25" s="29" t="n">
        <x:v>0.025</x:v>
      </x:c>
      <x:c r="P25" s="29" t="n">
        <x:v>0.025</x:v>
      </x:c>
      <x:c r="Q25" s="29" t="n">
        <x:v>0.025</x:v>
      </x:c>
      <x:c r="R25" s="3"/>
      <x:c r="S25" s="3"/>
    </x:row>
    <x:row r="26" ht="21" customHeight="1">
      <x:c r="A26" s="2"/>
      <x:c r="B26" s="2"/>
      <x:c r="C26" s="2" t="str">
        <x:v>Base</x:v>
      </x:c>
      <x:c r="D26" s="3"/>
      <x:c r="E26" s="3"/>
      <x:c r="F26" s="29" t="n">
        <x:v>0.01</x:v>
      </x:c>
      <x:c r="G26" s="29" t="n">
        <x:v>0.01</x:v>
      </x:c>
      <x:c r="H26" s="29" t="n">
        <x:v>0.01</x:v>
      </x:c>
      <x:c r="I26" s="29" t="n">
        <x:v>0.01</x:v>
      </x:c>
      <x:c r="J26" s="29" t="n">
        <x:v>0.01</x:v>
      </x:c>
      <x:c r="K26" s="29" t="n">
        <x:v>0.01</x:v>
      </x:c>
      <x:c r="L26" s="29" t="n">
        <x:v>0.01</x:v>
      </x:c>
      <x:c r="M26" s="29" t="n">
        <x:v>0.01</x:v>
      </x:c>
      <x:c r="N26" s="29" t="n">
        <x:v>0.01</x:v>
      </x:c>
      <x:c r="O26" s="29" t="n">
        <x:v>0.01</x:v>
      </x:c>
      <x:c r="P26" s="29" t="n">
        <x:v>0.01</x:v>
      </x:c>
      <x:c r="Q26" s="29" t="n">
        <x:v>0.01</x:v>
      </x:c>
      <x:c r="R26" s="3"/>
      <x:c r="S26" s="3"/>
    </x:row>
    <x:row r="27" ht="21" customHeight="1">
      <x:c r="A27" s="2"/>
      <x:c r="B27" s="2"/>
      <x:c r="C27" s="2" t="str">
        <x:v>Capacity</x:v>
      </x:c>
      <x:c r="D27" s="3"/>
      <x:c r="E27" s="3"/>
      <x:c r="F27" s="29" t="n">
        <x:v>0.005</x:v>
      </x:c>
      <x:c r="G27" s="29" t="n">
        <x:v>0.005</x:v>
      </x:c>
      <x:c r="H27" s="29" t="n">
        <x:v>0.005</x:v>
      </x:c>
      <x:c r="I27" s="29" t="n">
        <x:v>0.005</x:v>
      </x:c>
      <x:c r="J27" s="29" t="n">
        <x:v>0.005</x:v>
      </x:c>
      <x:c r="K27" s="29" t="n">
        <x:v>0.005</x:v>
      </x:c>
      <x:c r="L27" s="29" t="n">
        <x:v>0.005</x:v>
      </x:c>
      <x:c r="M27" s="29" t="n">
        <x:v>0.005</x:v>
      </x:c>
      <x:c r="N27" s="29" t="n">
        <x:v>0.005</x:v>
      </x:c>
      <x:c r="O27" s="29" t="n">
        <x:v>0.005</x:v>
      </x:c>
      <x:c r="P27" s="29" t="n">
        <x:v>0.005</x:v>
      </x:c>
      <x:c r="Q27" s="29" t="n">
        <x:v>0.005</x:v>
      </x:c>
      <x:c r="R27" s="3"/>
      <x:c r="S27" s="3"/>
    </x:row>
    <x:row r="28" ht="21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 ht="21" customHeight="1">
      <x:c r="A29" s="2"/>
      <x:c r="B29" s="2"/>
      <x:c r="C29" s="24" t="str">
        <x:v>Remaining-term prepay share — Active</x:v>
      </x:c>
      <x:c r="D29" s="25"/>
      <x:c r="E29" s="25"/>
      <x:c r="F29" s="30" t="n">
        <x:f>IF(CHOOSE($D$4,ISBLANK(F30),ISBLANK(F31),ISBLANK(F32)),NA(),CHOOSE($D$4,F30,F31,F32))</x:f>
        <x:v>0.5</x:v>
      </x:c>
      <x:c r="G29" s="30" t="n">
        <x:f>IF(CHOOSE($D$4,ISBLANK(G30),ISBLANK(G31),ISBLANK(G32)),NA(),CHOOSE($D$4,G30,G31,G32))</x:f>
        <x:v>0.5</x:v>
      </x:c>
      <x:c r="H29" s="30" t="n">
        <x:f>IF(CHOOSE($D$4,ISBLANK(H30),ISBLANK(H31),ISBLANK(H32)),NA(),CHOOSE($D$4,H30,H31,H32))</x:f>
        <x:v>0.5</x:v>
      </x:c>
      <x:c r="I29" s="30" t="n">
        <x:f>IF(CHOOSE($D$4,ISBLANK(I30),ISBLANK(I31),ISBLANK(I32)),NA(),CHOOSE($D$4,I30,I31,I32))</x:f>
        <x:v>0.5</x:v>
      </x:c>
      <x:c r="J29" s="30" t="n">
        <x:f>IF(CHOOSE($D$4,ISBLANK(J30),ISBLANK(J31),ISBLANK(J32)),NA(),CHOOSE($D$4,J30,J31,J32))</x:f>
        <x:v>0.5</x:v>
      </x:c>
      <x:c r="K29" s="30" t="n">
        <x:f>IF(CHOOSE($D$4,ISBLANK(K30),ISBLANK(K31),ISBLANK(K32)),NA(),CHOOSE($D$4,K30,K31,K32))</x:f>
        <x:v>0.5</x:v>
      </x:c>
      <x:c r="L29" s="30" t="n">
        <x:f>IF(CHOOSE($D$4,ISBLANK(L30),ISBLANK(L31),ISBLANK(L32)),NA(),CHOOSE($D$4,L30,L31,L32))</x:f>
        <x:v>0.5</x:v>
      </x:c>
      <x:c r="M29" s="30" t="n">
        <x:f>IF(CHOOSE($D$4,ISBLANK(M30),ISBLANK(M31),ISBLANK(M32)),NA(),CHOOSE($D$4,M30,M31,M32))</x:f>
        <x:v>0.5</x:v>
      </x:c>
      <x:c r="N29" s="30" t="n">
        <x:f>IF(CHOOSE($D$4,ISBLANK(N30),ISBLANK(N31),ISBLANK(N32)),NA(),CHOOSE($D$4,N30,N31,N32))</x:f>
        <x:v>0.5</x:v>
      </x:c>
      <x:c r="O29" s="30" t="n">
        <x:f>IF(CHOOSE($D$4,ISBLANK(O30),ISBLANK(O31),ISBLANK(O32)),NA(),CHOOSE($D$4,O30,O31,O32))</x:f>
        <x:v>0.5</x:v>
      </x:c>
      <x:c r="P29" s="30" t="n">
        <x:f>IF(CHOOSE($D$4,ISBLANK(P30),ISBLANK(P31),ISBLANK(P32)),NA(),CHOOSE($D$4,P30,P31,P32))</x:f>
        <x:v>0.5</x:v>
      </x:c>
      <x:c r="Q29" s="30" t="n">
        <x:f>IF(CHOOSE($D$4,ISBLANK(Q30),ISBLANK(Q31),ISBLANK(Q32)),NA(),CHOOSE($D$4,Q30,Q31,Q32))</x:f>
        <x:v>0.5</x:v>
      </x:c>
      <x:c r="R29" s="3"/>
      <x:c r="S29" s="3"/>
    </x:row>
    <x:row r="30" ht="21" customHeight="1">
      <x:c r="A30" s="2"/>
      <x:c r="B30" s="2"/>
      <x:c r="C30" s="2" t="str">
        <x:v>Downside</x:v>
      </x:c>
      <x:c r="D30" s="3"/>
      <x:c r="E30" s="3"/>
      <x:c r="F30" s="29" t="n">
        <x:v>0.25</x:v>
      </x:c>
      <x:c r="G30" s="29" t="n">
        <x:v>0.25</x:v>
      </x:c>
      <x:c r="H30" s="29" t="n">
        <x:v>0.25</x:v>
      </x:c>
      <x:c r="I30" s="29" t="n">
        <x:v>0.25</x:v>
      </x:c>
      <x:c r="J30" s="29" t="n">
        <x:v>0.25</x:v>
      </x:c>
      <x:c r="K30" s="29" t="n">
        <x:v>0.25</x:v>
      </x:c>
      <x:c r="L30" s="29" t="n">
        <x:v>0.25</x:v>
      </x:c>
      <x:c r="M30" s="29" t="n">
        <x:v>0.25</x:v>
      </x:c>
      <x:c r="N30" s="29" t="n">
        <x:v>0.25</x:v>
      </x:c>
      <x:c r="O30" s="29" t="n">
        <x:v>0.25</x:v>
      </x:c>
      <x:c r="P30" s="29" t="n">
        <x:v>0.25</x:v>
      </x:c>
      <x:c r="Q30" s="29" t="n">
        <x:v>0.25</x:v>
      </x:c>
      <x:c r="R30" s="3"/>
      <x:c r="S30" s="3"/>
    </x:row>
    <x:row r="31" ht="21" customHeight="1">
      <x:c r="A31" s="2"/>
      <x:c r="B31" s="2"/>
      <x:c r="C31" s="2" t="str">
        <x:v>Base</x:v>
      </x:c>
      <x:c r="D31" s="3"/>
      <x:c r="E31" s="3"/>
      <x:c r="F31" s="29" t="n">
        <x:v>0.5</x:v>
      </x:c>
      <x:c r="G31" s="29" t="n">
        <x:v>0.5</x:v>
      </x:c>
      <x:c r="H31" s="29" t="n">
        <x:v>0.5</x:v>
      </x:c>
      <x:c r="I31" s="29" t="n">
        <x:v>0.5</x:v>
      </x:c>
      <x:c r="J31" s="29" t="n">
        <x:v>0.5</x:v>
      </x:c>
      <x:c r="K31" s="29" t="n">
        <x:v>0.5</x:v>
      </x:c>
      <x:c r="L31" s="29" t="n">
        <x:v>0.5</x:v>
      </x:c>
      <x:c r="M31" s="29" t="n">
        <x:v>0.5</x:v>
      </x:c>
      <x:c r="N31" s="29" t="n">
        <x:v>0.5</x:v>
      </x:c>
      <x:c r="O31" s="29" t="n">
        <x:v>0.5</x:v>
      </x:c>
      <x:c r="P31" s="29" t="n">
        <x:v>0.5</x:v>
      </x:c>
      <x:c r="Q31" s="29" t="n">
        <x:v>0.5</x:v>
      </x:c>
      <x:c r="R31" s="3"/>
      <x:c r="S31" s="3"/>
    </x:row>
    <x:row r="32" ht="21" customHeight="1">
      <x:c r="A32" s="2"/>
      <x:c r="B32" s="2"/>
      <x:c r="C32" s="2" t="str">
        <x:v>Capacity</x:v>
      </x:c>
      <x:c r="D32" s="3"/>
      <x:c r="E32" s="3"/>
      <x:c r="F32" s="29" t="n">
        <x:v>0.6</x:v>
      </x:c>
      <x:c r="G32" s="29" t="n">
        <x:v>0.6</x:v>
      </x:c>
      <x:c r="H32" s="29" t="n">
        <x:v>0.6</x:v>
      </x:c>
      <x:c r="I32" s="29" t="n">
        <x:v>0.6</x:v>
      </x:c>
      <x:c r="J32" s="29" t="n">
        <x:v>0.6</x:v>
      </x:c>
      <x:c r="K32" s="29" t="n">
        <x:v>0.6</x:v>
      </x:c>
      <x:c r="L32" s="29" t="n">
        <x:v>0.6</x:v>
      </x:c>
      <x:c r="M32" s="29" t="n">
        <x:v>0.6</x:v>
      </x:c>
      <x:c r="N32" s="29" t="n">
        <x:v>0.6</x:v>
      </x:c>
      <x:c r="O32" s="29" t="n">
        <x:v>0.6</x:v>
      </x:c>
      <x:c r="P32" s="29" t="n">
        <x:v>0.6</x:v>
      </x:c>
      <x:c r="Q32" s="29" t="n">
        <x:v>0.6</x:v>
      </x:c>
      <x:c r="R32" s="3"/>
      <x:c r="S32" s="3"/>
    </x:row>
    <x:row r="33" ht="21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 ht="21" customHeight="1">
      <x:c r="A34" s="2"/>
      <x:c r="B34" s="2"/>
      <x:c r="C34" s="24" t="str">
        <x:v>Acquisition cost per paid pilot — Active</x:v>
      </x:c>
      <x:c r="D34" s="25"/>
      <x:c r="E34" s="25"/>
      <x:c r="F34" s="32" t="n">
        <x:f>IF(CHOOSE($D$4,ISBLANK(F35),ISBLANK(F36),ISBLANK(F37)),NA(),CHOOSE($D$4,F35,F36,F37))</x:f>
        <x:v>900</x:v>
      </x:c>
      <x:c r="G34" s="32" t="n">
        <x:f>IF(CHOOSE($D$4,ISBLANK(G35),ISBLANK(G36),ISBLANK(G37)),NA(),CHOOSE($D$4,G35,G36,G37))</x:f>
        <x:v>900</x:v>
      </x:c>
      <x:c r="H34" s="32" t="n">
        <x:f>IF(CHOOSE($D$4,ISBLANK(H35),ISBLANK(H36),ISBLANK(H37)),NA(),CHOOSE($D$4,H35,H36,H37))</x:f>
        <x:v>900</x:v>
      </x:c>
      <x:c r="I34" s="32" t="n">
        <x:f>IF(CHOOSE($D$4,ISBLANK(I35),ISBLANK(I36),ISBLANK(I37)),NA(),CHOOSE($D$4,I35,I36,I37))</x:f>
        <x:v>900</x:v>
      </x:c>
      <x:c r="J34" s="32" t="n">
        <x:f>IF(CHOOSE($D$4,ISBLANK(J35),ISBLANK(J36),ISBLANK(J37)),NA(),CHOOSE($D$4,J35,J36,J37))</x:f>
        <x:v>900</x:v>
      </x:c>
      <x:c r="K34" s="32" t="n">
        <x:f>IF(CHOOSE($D$4,ISBLANK(K35),ISBLANK(K36),ISBLANK(K37)),NA(),CHOOSE($D$4,K35,K36,K37))</x:f>
        <x:v>900</x:v>
      </x:c>
      <x:c r="L34" s="32" t="n">
        <x:f>IF(CHOOSE($D$4,ISBLANK(L35),ISBLANK(L36),ISBLANK(L37)),NA(),CHOOSE($D$4,L35,L36,L37))</x:f>
        <x:v>900</x:v>
      </x:c>
      <x:c r="M34" s="32" t="n">
        <x:f>IF(CHOOSE($D$4,ISBLANK(M35),ISBLANK(M36),ISBLANK(M37)),NA(),CHOOSE($D$4,M35,M36,M37))</x:f>
        <x:v>900</x:v>
      </x:c>
      <x:c r="N34" s="32" t="n">
        <x:f>IF(CHOOSE($D$4,ISBLANK(N35),ISBLANK(N36),ISBLANK(N37)),NA(),CHOOSE($D$4,N35,N36,N37))</x:f>
        <x:v>900</x:v>
      </x:c>
      <x:c r="O34" s="32" t="n">
        <x:f>IF(CHOOSE($D$4,ISBLANK(O35),ISBLANK(O36),ISBLANK(O37)),NA(),CHOOSE($D$4,O35,O36,O37))</x:f>
        <x:v>900</x:v>
      </x:c>
      <x:c r="P34" s="32" t="n">
        <x:f>IF(CHOOSE($D$4,ISBLANK(P35),ISBLANK(P36),ISBLANK(P37)),NA(),CHOOSE($D$4,P35,P36,P37))</x:f>
        <x:v>900</x:v>
      </x:c>
      <x:c r="Q34" s="32" t="n">
        <x:f>IF(CHOOSE($D$4,ISBLANK(Q35),ISBLANK(Q36),ISBLANK(Q37)),NA(),CHOOSE($D$4,Q35,Q36,Q37))</x:f>
        <x:v>900</x:v>
      </x:c>
      <x:c r="R34" s="3"/>
      <x:c r="S34" s="3"/>
    </x:row>
    <x:row r="35" ht="21" customHeight="1">
      <x:c r="A35" s="2"/>
      <x:c r="B35" s="2"/>
      <x:c r="C35" s="2" t="str">
        <x:v>Downside</x:v>
      </x:c>
      <x:c r="D35" s="3"/>
      <x:c r="E35" s="3"/>
      <x:c r="F35" s="31" t="n">
        <x:v>1200</x:v>
      </x:c>
      <x:c r="G35" s="31" t="n">
        <x:v>1200</x:v>
      </x:c>
      <x:c r="H35" s="31" t="n">
        <x:v>1200</x:v>
      </x:c>
      <x:c r="I35" s="31" t="n">
        <x:v>1200</x:v>
      </x:c>
      <x:c r="J35" s="31" t="n">
        <x:v>1200</x:v>
      </x:c>
      <x:c r="K35" s="31" t="n">
        <x:v>1200</x:v>
      </x:c>
      <x:c r="L35" s="31" t="n">
        <x:v>1200</x:v>
      </x:c>
      <x:c r="M35" s="31" t="n">
        <x:v>1200</x:v>
      </x:c>
      <x:c r="N35" s="31" t="n">
        <x:v>1200</x:v>
      </x:c>
      <x:c r="O35" s="31" t="n">
        <x:v>1200</x:v>
      </x:c>
      <x:c r="P35" s="31" t="n">
        <x:v>1200</x:v>
      </x:c>
      <x:c r="Q35" s="31" t="n">
        <x:v>1200</x:v>
      </x:c>
      <x:c r="R35" s="3"/>
      <x:c r="S35" s="3"/>
    </x:row>
    <x:row r="36" ht="21" customHeight="1">
      <x:c r="A36" s="2"/>
      <x:c r="B36" s="2"/>
      <x:c r="C36" s="2" t="str">
        <x:v>Base</x:v>
      </x:c>
      <x:c r="D36" s="3"/>
      <x:c r="E36" s="3"/>
      <x:c r="F36" s="31" t="n">
        <x:v>900</x:v>
      </x:c>
      <x:c r="G36" s="31" t="n">
        <x:v>900</x:v>
      </x:c>
      <x:c r="H36" s="31" t="n">
        <x:v>900</x:v>
      </x:c>
      <x:c r="I36" s="31" t="n">
        <x:v>900</x:v>
      </x:c>
      <x:c r="J36" s="31" t="n">
        <x:v>900</x:v>
      </x:c>
      <x:c r="K36" s="31" t="n">
        <x:v>900</x:v>
      </x:c>
      <x:c r="L36" s="31" t="n">
        <x:v>900</x:v>
      </x:c>
      <x:c r="M36" s="31" t="n">
        <x:v>900</x:v>
      </x:c>
      <x:c r="N36" s="31" t="n">
        <x:v>900</x:v>
      </x:c>
      <x:c r="O36" s="31" t="n">
        <x:v>900</x:v>
      </x:c>
      <x:c r="P36" s="31" t="n">
        <x:v>900</x:v>
      </x:c>
      <x:c r="Q36" s="31" t="n">
        <x:v>900</x:v>
      </x:c>
      <x:c r="R36" s="3"/>
      <x:c r="S36" s="3"/>
    </x:row>
    <x:row r="37" ht="21" customHeight="1">
      <x:c r="A37" s="2"/>
      <x:c r="B37" s="2"/>
      <x:c r="C37" s="2" t="str">
        <x:v>Capacity</x:v>
      </x:c>
      <x:c r="D37" s="3"/>
      <x:c r="E37" s="3"/>
      <x:c r="F37" s="31" t="n">
        <x:v>700</x:v>
      </x:c>
      <x:c r="G37" s="31" t="n">
        <x:v>700</x:v>
      </x:c>
      <x:c r="H37" s="31" t="n">
        <x:v>700</x:v>
      </x:c>
      <x:c r="I37" s="31" t="n">
        <x:v>700</x:v>
      </x:c>
      <x:c r="J37" s="31" t="n">
        <x:v>700</x:v>
      </x:c>
      <x:c r="K37" s="31" t="n">
        <x:v>700</x:v>
      </x:c>
      <x:c r="L37" s="31" t="n">
        <x:v>700</x:v>
      </x:c>
      <x:c r="M37" s="31" t="n">
        <x:v>700</x:v>
      </x:c>
      <x:c r="N37" s="31" t="n">
        <x:v>700</x:v>
      </x:c>
      <x:c r="O37" s="31" t="n">
        <x:v>700</x:v>
      </x:c>
      <x:c r="P37" s="31" t="n">
        <x:v>700</x:v>
      </x:c>
      <x:c r="Q37" s="31" t="n">
        <x:v>700</x:v>
      </x:c>
      <x:c r="R37" s="3"/>
      <x:c r="S37" s="3"/>
    </x:row>
    <x:row r="38" ht="21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 ht="21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 ht="21" customHeight="1">
      <x:c r="A40" s="2"/>
      <x:c r="B40" s="2"/>
      <x:c r="C40" s="24" t="str">
        <x:v>Common prices, costs and capacity</x:v>
      </x:c>
      <x:c r="D40" s="25"/>
      <x:c r="E40" s="25"/>
      <x:c r="F40" s="25"/>
      <x:c r="G40" s="25"/>
      <x:c r="H40" s="25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 ht="21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 ht="21" customHeight="1">
      <x:c r="A42" s="2"/>
      <x:c r="B42" s="2"/>
      <x:c r="C42" s="2" t="str">
        <x:v>Pilot total price</x:v>
      </x:c>
      <x:c r="D42" s="3"/>
      <x:c r="E42" s="3"/>
      <x:c r="F42" s="31" t="n">
        <x:v>3000</x:v>
      </x:c>
      <x:c r="G42" s="3"/>
      <x:c r="H42" s="3" t="str">
        <x:v>CAD before sales taxes</x:v>
      </x:c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 ht="21" customHeight="1">
      <x:c r="A43" s="2"/>
      <x:c r="B43" s="2"/>
      <x:c r="C43" s="2" t="str">
        <x:v>Pilot billing months</x:v>
      </x:c>
      <x:c r="D43" s="3"/>
      <x:c r="E43" s="3"/>
      <x:c r="F43" s="53" t="n">
        <x:v>2</x:v>
      </x:c>
      <x:c r="G43" s="3"/>
      <x:c r="H43" s="3" t="str">
        <x:v>Fixed two-month pilot structure</x:v>
      </x:c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 ht="21" customHeight="1">
      <x:c r="A44" s="2"/>
      <x:c r="B44" s="2"/>
      <x:c r="C44" s="2" t="str">
        <x:v>First-year / renewal price</x:v>
      </x:c>
      <x:c r="D44" s="3"/>
      <x:c r="E44" s="3"/>
      <x:c r="F44" s="31" t="n">
        <x:v>12000</x:v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 ht="21" customHeight="1">
      <x:c r="A45" s="2"/>
      <x:c r="B45" s="2"/>
      <x:c r="C45" s="2" t="str">
        <x:v>First-year service months</x:v>
      </x:c>
      <x:c r="D45" s="3"/>
      <x:c r="E45" s="3"/>
      <x:c r="F45" s="53" t="n">
        <x:v>12</x:v>
      </x:c>
      <x:c r="G45" s="3"/>
      <x:c r="H45" s="3" t="str">
        <x:v>Fixed twelve-month service term</x:v>
      </x:c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 ht="21" customHeight="1">
      <x:c r="A46" s="2"/>
      <x:c r="B46" s="2"/>
      <x:c r="C46" s="2" t="str">
        <x:v>Members per general clinic group</x:v>
      </x:c>
      <x:c r="D46" s="3"/>
      <x:c r="E46" s="3"/>
      <x:c r="F46" s="27" t="n">
        <x:v>16</x:v>
      </x:c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 ht="21" customHeight="1">
      <x:c r="A47" s="2"/>
      <x:c r="B47" s="2"/>
      <x:c r="C47" s="2" t="str">
        <x:v>Clinic hours per group per month</x:v>
      </x:c>
      <x:c r="D47" s="3"/>
      <x:c r="E47" s="3"/>
      <x:c r="F47" s="33" t="n">
        <x:v>4</x:v>
      </x:c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 ht="21" customHeight="1">
      <x:c r="A48" s="2"/>
      <x:c r="B48" s="2"/>
      <x:c r="C48" s="2" t="str">
        <x:v>Payment processing rate</x:v>
      </x:c>
      <x:c r="D48" s="3"/>
      <x:c r="E48" s="3"/>
      <x:c r="F48" s="29" t="n">
        <x:v>0.029</x:v>
      </x:c>
      <x:c r="G48" s="3"/>
      <x:c r="H48" s="3" t="str">
        <x:v>Budget allowance, not vendor quote</x:v>
      </x:c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 ht="21" customHeight="1">
      <x:c r="A49" s="2"/>
      <x:c r="B49" s="2"/>
      <x:c r="C49" s="2" t="str">
        <x:v>Payment processing fixed fee</x:v>
      </x:c>
      <x:c r="D49" s="3"/>
      <x:c r="E49" s="3"/>
      <x:c r="F49" s="33" t="n">
        <x:v>0.3</x:v>
      </x:c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 ht="21" customHeight="1">
      <x:c r="A50" s="2"/>
      <x:c r="B50" s="2"/>
      <x:c r="C50" s="2" t="str">
        <x:v>Founder management per month</x:v>
      </x:c>
      <x:c r="D50" s="3"/>
      <x:c r="E50" s="3"/>
      <x:c r="F50" s="31" t="n">
        <x:v>6000</x:v>
      </x:c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 ht="21" customHeight="1">
      <x:c r="A51" s="2"/>
      <x:c r="B51" s="2"/>
      <x:c r="C51" s="2" t="str">
        <x:v>Content and mentor sourcing / month</x:v>
      </x:c>
      <x:c r="D51" s="3"/>
      <x:c r="E51" s="3"/>
      <x:c r="F51" s="31" t="n">
        <x:v>1500</x:v>
      </x:c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 ht="21" customHeight="1">
      <x:c r="A52" s="2"/>
      <x:c r="B52" s="2"/>
      <x:c r="C52" s="2" t="str">
        <x:v>Engineering M1–M3 per month</x:v>
      </x:c>
      <x:c r="D52" s="3"/>
      <x:c r="E52" s="3"/>
      <x:c r="F52" s="31" t="n">
        <x:v>4000</x:v>
      </x:c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 ht="21" customHeight="1">
      <x:c r="A53" s="2"/>
      <x:c r="B53" s="2"/>
      <x:c r="C53" s="2" t="str">
        <x:v>Engineering M4–M12 per month</x:v>
      </x:c>
      <x:c r="D53" s="3"/>
      <x:c r="E53" s="3"/>
      <x:c r="F53" s="31" t="n">
        <x:v>1500</x:v>
      </x:c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 ht="21" customHeight="1">
      <x:c r="A54" s="2"/>
      <x:c r="B54" s="2"/>
      <x:c r="C54" s="2" t="str">
        <x:v>Startup expense in M1</x:v>
      </x:c>
      <x:c r="D54" s="3"/>
      <x:c r="E54" s="3"/>
      <x:c r="F54" s="31" t="n">
        <x:v>7500</x:v>
      </x:c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 ht="21" customHeight="1">
      <x:c r="A55" s="2"/>
      <x:c r="B55" s="2"/>
      <x:c r="C55" s="2" t="str">
        <x:v>Opening cash</x:v>
      </x:c>
      <x:c r="D55" s="3"/>
      <x:c r="E55" s="3"/>
      <x:c r="F55" s="31" t="n">
        <x:v>100000</x:v>
      </x:c>
      <x:c r="G55" s="3"/>
      <x:c r="H55" s="3" t="str">
        <x:v>Funding assumption, not existing cash</x:v>
      </x:c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 ht="21" customHeight="1">
      <x:c r="A56" s="2"/>
      <x:c r="B56" s="2"/>
      <x:c r="C56" s="2" t="str">
        <x:v>Minimum operating buffer</x:v>
      </x:c>
      <x:c r="D56" s="3"/>
      <x:c r="E56" s="3"/>
      <x:c r="F56" s="31" t="n">
        <x:v>15000</x:v>
      </x:c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 ht="21" customHeight="1">
      <x:c r="A57" s="2"/>
      <x:c r="B57" s="2"/>
      <x:c r="C57" s="2" t="str">
        <x:v>Productive expert hours / capacity unit</x:v>
      </x:c>
      <x:c r="D57" s="3"/>
      <x:c r="E57" s="3"/>
      <x:c r="F57" s="33" t="n">
        <x:v>80</x:v>
      </x:c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 ht="21" customHeight="1">
      <x:c r="A58" s="2"/>
      <x:c r="B58" s="2"/>
      <x:c r="C58" s="2" t="str">
        <x:v>Target booking fraction</x:v>
      </x:c>
      <x:c r="D58" s="3"/>
      <x:c r="E58" s="3"/>
      <x:c r="F58" s="29" t="n">
        <x:v>0.8</x:v>
      </x:c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 ht="21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 ht="21" customHeight="1">
      <x:c r="A60" s="2"/>
      <x:c r="B60" s="2"/>
      <x:c r="C60" s="2" t="str">
        <x:v>Coach hourly cost</x:v>
      </x:c>
      <x:c r="D60" s="3"/>
      <x:c r="E60" s="3"/>
      <x:c r="F60" s="31" t="n">
        <x:v>125</x:v>
      </x:c>
      <x:c r="G60" s="3"/>
      <x:c r="H60" s="3" t="str">
        <x:v>Loaded cost includes prep and follow-up</x:v>
      </x:c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 ht="21" customHeight="1">
      <x:c r="A61" s="2"/>
      <x:c r="B61" s="2"/>
      <x:c r="C61" s="2" t="str">
        <x:v>Domain reviewer hourly cost</x:v>
      </x:c>
      <x:c r="D61" s="3"/>
      <x:c r="E61" s="3"/>
      <x:c r="F61" s="31" t="n">
        <x:v>150</x:v>
      </x:c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 ht="21" customHeight="1">
      <x:c r="A62" s="2"/>
      <x:c r="B62" s="2"/>
      <x:c r="C62" s="2" t="str">
        <x:v>Implementation hourly cost</x:v>
      </x:c>
      <x:c r="D62" s="3"/>
      <x:c r="E62" s="3"/>
      <x:c r="F62" s="31" t="n">
        <x:v>125</x:v>
      </x:c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 ht="21" customHeight="1">
      <x:c r="A63" s="2"/>
      <x:c r="B63" s="2"/>
      <x:c r="C63" s="2" t="str">
        <x:v>Engineer hourly cost</x:v>
      </x:c>
      <x:c r="D63" s="3"/>
      <x:c r="E63" s="3"/>
      <x:c r="F63" s="31" t="n">
        <x:v>150</x:v>
      </x:c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 ht="21" customHeight="1">
      <x:c r="A64" s="2"/>
      <x:c r="B64" s="2"/>
      <x:c r="C64" s="2" t="str">
        <x:v>Senior adviser hourly cost</x:v>
      </x:c>
      <x:c r="D64" s="3"/>
      <x:c r="E64" s="3"/>
      <x:c r="F64" s="31" t="n">
        <x:v>200</x:v>
      </x:c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 ht="21" customHeight="1">
      <x:c r="A65" s="2"/>
      <x:c r="B65" s="2"/>
      <x:c r="C65" s="2" t="str">
        <x:v>Analyst hourly cost</x:v>
      </x:c>
      <x:c r="D65" s="3"/>
      <x:c r="E65" s="3"/>
      <x:c r="F65" s="31" t="n">
        <x:v>80</x:v>
      </x:c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 ht="21" customHeight="1">
      <x:c r="A66" s="2"/>
      <x:c r="B66" s="2"/>
      <x:c r="C66" s="2" t="str">
        <x:v>Support hourly cost</x:v>
      </x:c>
      <x:c r="D66" s="3"/>
      <x:c r="E66" s="3"/>
      <x:c r="F66" s="31" t="n">
        <x:v>60</x:v>
      </x:c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 ht="21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 ht="21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 ht="21" customHeight="1">
      <x:c r="A69" s="2"/>
      <x:c r="B69" s="2"/>
      <x:c r="C69" s="2" t="str">
        <x:v>Source: planning assumptions prepared 15-Sep-2026; no historical sales data.</x:v>
      </x:c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 ht="21" customHeight="1">
      <x:c r="A70" s="2"/>
      <x:c r="B70" s="2"/>
      <x:c r="C70" s="2" t="str">
        <x:v>All IT roles may apply. Paid expert services require verified role coverage.</x:v>
      </x:c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 ht="21" customHeight="1">
      <x:c r="A71" s="2"/>
      <x:c r="B71" s="2"/>
      <x:c r="C71" s="2" t="str">
        <x:v>Early release/default represents approved exits or non-collection, not monthly cancellation.</x:v>
      </x:c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 ht="21" customHeight="1">
      <x:c r="A72" s="2"/>
      <x:c r="B72" s="2"/>
      <x:c r="C72" s="2" t="str">
        <x:v>Annual renewal starts after this horizon and is excluded from Year 1 calculations.</x:v>
      </x:c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 ht="21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 ht="21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 ht="21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 ht="21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 ht="21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 ht="21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 ht="21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 ht="21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</x:sheetData>
  <x:dataValidations count="1">
    <x:dataValidation type="list" sqref="D4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" hidden="0" customWidth="1"/>
    <x:col min="19" max="19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2"/>
      <x:c r="B2" s="2"/>
      <x:c r="C2" s="4" t="str">
        <x:v>Monthly operating and cash forecast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2"/>
      <x:c r="S3" s="2"/>
    </x:row>
    <x:row r="4" ht="21" customHeight="1">
      <x:c r="A4" s="2"/>
      <x:c r="B4" s="2"/>
      <x:c r="C4" s="2" t="str">
        <x:v>Case Selected:</x:v>
      </x:c>
      <x:c r="D4" s="8" t="str">
        <x:f>CHOOSE('Assumptions'!$D$4,"Downside","Base","Capacity")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1" customHeight="1">
      <x:c r="A6" s="2"/>
      <x:c r="B6" s="2"/>
      <x:c r="C6" s="2" t="str">
        <x:v>CAD before sales taxes. M1–M12 from project start. All inputs are hypotheses.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1" customHeight="1">
      <x:c r="A8" s="2"/>
      <x:c r="B8" s="2"/>
      <x:c r="C8" s="19"/>
      <x:c r="D8" s="20" t="str">
        <x:v>Year 1 / End</x:v>
      </x:c>
      <x:c r="E8" s="20"/>
      <x:c r="F8" s="21" t="n">
        <x:v>1</x:v>
      </x:c>
      <x:c r="G8" s="21" t="n">
        <x:v>2</x:v>
      </x:c>
      <x:c r="H8" s="21" t="n">
        <x:v>3</x:v>
      </x:c>
      <x:c r="I8" s="21" t="n">
        <x:v>4</x:v>
      </x:c>
      <x:c r="J8" s="21" t="n">
        <x:v>5</x:v>
      </x:c>
      <x:c r="K8" s="21" t="n">
        <x:v>6</x:v>
      </x:c>
      <x:c r="L8" s="21" t="n">
        <x:v>7</x:v>
      </x:c>
      <x:c r="M8" s="21" t="n">
        <x:v>8</x:v>
      </x:c>
      <x:c r="N8" s="21" t="n">
        <x:v>9</x:v>
      </x:c>
      <x:c r="O8" s="21" t="n">
        <x:v>10</x:v>
      </x:c>
      <x:c r="P8" s="21" t="n">
        <x:v>11</x:v>
      </x:c>
      <x:c r="Q8" s="21" t="n">
        <x:v>12</x:v>
      </x:c>
      <x:c r="R8" s="3"/>
      <x:c r="S8" s="3"/>
    </x:row>
    <x:row r="9" ht="21" customHeight="1">
      <x:c r="A9" s="2"/>
      <x:c r="B9" s="2"/>
      <x:c r="C9" s="2" t="str">
        <x:v>Paid pilot starts</x:v>
      </x:c>
      <x:c r="D9" s="38" t="n">
        <x:f>SUM(F9:Q9)</x:f>
        <x:v>37</x:v>
      </x:c>
      <x:c r="E9" s="61"/>
      <x:c r="F9" s="37" t="n">
        <x:f>'Assumptions'!F9</x:f>
        <x:v>0</x:v>
      </x:c>
      <x:c r="G9" s="37" t="n">
        <x:f>'Assumptions'!G9</x:f>
        <x:v>0</x:v>
      </x:c>
      <x:c r="H9" s="37" t="n">
        <x:f>'Assumptions'!H9</x:f>
        <x:v>5</x:v>
      </x:c>
      <x:c r="I9" s="37" t="n">
        <x:f>'Assumptions'!I9</x:f>
        <x:v>0</x:v>
      </x:c>
      <x:c r="J9" s="37" t="n">
        <x:f>'Assumptions'!J9</x:f>
        <x:v>5</x:v>
      </x:c>
      <x:c r="K9" s="37" t="n">
        <x:f>'Assumptions'!K9</x:f>
        <x:v>2</x:v>
      </x:c>
      <x:c r="L9" s="37" t="n">
        <x:f>'Assumptions'!L9</x:f>
        <x:v>3</x:v>
      </x:c>
      <x:c r="M9" s="37" t="n">
        <x:f>'Assumptions'!M9</x:f>
        <x:v>4</x:v>
      </x:c>
      <x:c r="N9" s="37" t="n">
        <x:f>'Assumptions'!N9</x:f>
        <x:v>4</x:v>
      </x:c>
      <x:c r="O9" s="37" t="n">
        <x:f>'Assumptions'!O9</x:f>
        <x:v>4</x:v>
      </x:c>
      <x:c r="P9" s="37" t="n">
        <x:f>'Assumptions'!P9</x:f>
        <x:v>5</x:v>
      </x:c>
      <x:c r="Q9" s="37" t="n">
        <x:f>'Assumptions'!Q9</x:f>
        <x:v>5</x:v>
      </x:c>
      <x:c r="R9" s="3"/>
      <x:c r="S9" s="3"/>
    </x:row>
    <x:row r="10" ht="21" customHeight="1">
      <x:c r="A10" s="2"/>
      <x:c r="B10" s="2"/>
      <x:c r="C10" s="2" t="str">
        <x:v>New continuing members</x:v>
      </x:c>
      <x:c r="D10" s="38" t="n">
        <x:f>SUM(F10:Q10)</x:f>
        <x:v>15.713999999999997</x:v>
      </x:c>
      <x:c r="E10" s="61"/>
      <x:c r="F10" s="38" t="n">
        <x:f>0</x:f>
        <x:v>0</x:v>
      </x:c>
      <x:c r="G10" s="38" t="n">
        <x:f>0</x:f>
        <x:v>0</x:v>
      </x:c>
      <x:c r="H10" s="37" t="n">
        <x:f>'Cohorts'!E9</x:f>
        <x:v>0</x:v>
      </x:c>
      <x:c r="I10" s="37" t="n">
        <x:f>'Cohorts'!E10</x:f>
        <x:v>0</x:v>
      </x:c>
      <x:c r="J10" s="37" t="n">
        <x:f>'Cohorts'!E11</x:f>
        <x:v>2.9099999999999997</x:v>
      </x:c>
      <x:c r="K10" s="37" t="n">
        <x:f>'Cohorts'!E12</x:f>
        <x:v>0</x:v>
      </x:c>
      <x:c r="L10" s="37" t="n">
        <x:f>'Cohorts'!E13</x:f>
        <x:v>2.9099999999999997</x:v>
      </x:c>
      <x:c r="M10" s="37" t="n">
        <x:f>'Cohorts'!E14</x:f>
        <x:v>1.164</x:v>
      </x:c>
      <x:c r="N10" s="37" t="n">
        <x:f>'Cohorts'!E15</x:f>
        <x:v>1.746</x:v>
      </x:c>
      <x:c r="O10" s="37" t="n">
        <x:f>'Cohorts'!E16</x:f>
        <x:v>2.328</x:v>
      </x:c>
      <x:c r="P10" s="37" t="n">
        <x:f>'Cohorts'!E17</x:f>
        <x:v>2.328</x:v>
      </x:c>
      <x:c r="Q10" s="37" t="n">
        <x:f>'Cohorts'!E18</x:f>
        <x:v>2.328</x:v>
      </x:c>
      <x:c r="R10" s="3"/>
      <x:c r="S10" s="3"/>
    </x:row>
    <x:row r="11" ht="21" customHeight="1">
      <x:c r="A11" s="2"/>
      <x:c r="B11" s="2"/>
      <x:c r="C11" s="2" t="str">
        <x:v>Active pilot seats</x:v>
      </x:c>
      <x:c r="D11" s="38" t="n">
        <x:f>Q11</x:f>
        <x:v>10</x:v>
      </x:c>
      <x:c r="E11" s="61"/>
      <x:c r="F11" s="38" t="n">
        <x:f>F9</x:f>
        <x:v>0</x:v>
      </x:c>
      <x:c r="G11" s="38" t="n">
        <x:f>G9+F9</x:f>
        <x:v>0</x:v>
      </x:c>
      <x:c r="H11" s="38" t="n">
        <x:f>H9+G9</x:f>
        <x:v>5</x:v>
      </x:c>
      <x:c r="I11" s="38" t="n">
        <x:f>I9+H9</x:f>
        <x:v>5</x:v>
      </x:c>
      <x:c r="J11" s="38" t="n">
        <x:f>J9+I9</x:f>
        <x:v>5</x:v>
      </x:c>
      <x:c r="K11" s="38" t="n">
        <x:f>K9+J9</x:f>
        <x:v>7</x:v>
      </x:c>
      <x:c r="L11" s="38" t="n">
        <x:f>L9+K9</x:f>
        <x:v>5</x:v>
      </x:c>
      <x:c r="M11" s="38" t="n">
        <x:f>M9+L9</x:f>
        <x:v>7</x:v>
      </x:c>
      <x:c r="N11" s="38" t="n">
        <x:f>N9+M9</x:f>
        <x:v>8</x:v>
      </x:c>
      <x:c r="O11" s="38" t="n">
        <x:f>O9+N9</x:f>
        <x:v>8</x:v>
      </x:c>
      <x:c r="P11" s="38" t="n">
        <x:f>P9+O9</x:f>
        <x:v>9</x:v>
      </x:c>
      <x:c r="Q11" s="38" t="n">
        <x:f>Q9+P9</x:f>
        <x:v>10</x:v>
      </x:c>
      <x:c r="R11" s="3"/>
      <x:c r="S11" s="3"/>
    </x:row>
    <x:row r="12" ht="21" customHeight="1">
      <x:c r="A12" s="2"/>
      <x:c r="B12" s="2"/>
      <x:c r="C12" s="2" t="str">
        <x:v>Active continuing members</x:v>
      </x:c>
      <x:c r="D12" s="38" t="n">
        <x:f>Q12</x:f>
        <x:v>15.206359817258338</x:v>
      </x:c>
      <x:c r="E12" s="61"/>
      <x:c r="F12" s="37" t="n">
        <x:f>'Cohorts'!F21</x:f>
        <x:v>0</x:v>
      </x:c>
      <x:c r="G12" s="37" t="n">
        <x:f>'Cohorts'!G21</x:f>
        <x:v>0</x:v>
      </x:c>
      <x:c r="H12" s="37" t="n">
        <x:f>'Cohorts'!H21</x:f>
        <x:v>0</x:v>
      </x:c>
      <x:c r="I12" s="37" t="n">
        <x:f>'Cohorts'!I21</x:f>
        <x:v>0</x:v>
      </x:c>
      <x:c r="J12" s="37" t="n">
        <x:f>'Cohorts'!J21</x:f>
        <x:v>2.9099999999999997</x:v>
      </x:c>
      <x:c r="K12" s="37" t="n">
        <x:f>'Cohorts'!K21</x:f>
        <x:v>2.8808999999999996</x:v>
      </x:c>
      <x:c r="L12" s="37" t="n">
        <x:f>'Cohorts'!L21</x:f>
        <x:v>5.762091</x:v>
      </x:c>
      <x:c r="M12" s="37" t="n">
        <x:f>'Cohorts'!M21</x:f>
        <x:v>6.868470089999999</x:v>
      </x:c>
      <x:c r="N12" s="37" t="n">
        <x:f>'Cohorts'!N21</x:f>
        <x:v>8.545785389099999</x:v>
      </x:c>
      <x:c r="O12" s="37" t="n">
        <x:f>'Cohorts'!O21</x:f>
        <x:v>10.788327535208998</x:v>
      </x:c>
      <x:c r="P12" s="37" t="n">
        <x:f>'Cohorts'!P21</x:f>
        <x:v>13.008444259856908</x:v>
      </x:c>
      <x:c r="Q12" s="37" t="n">
        <x:f>'Cohorts'!Q21</x:f>
        <x:v>15.206359817258338</x:v>
      </x:c>
      <x:c r="R12" s="3"/>
      <x:c r="S12" s="3"/>
    </x:row>
    <x:row r="13" ht="21" customHeight="1">
      <x:c r="A13" s="2"/>
      <x:c r="B13" s="2"/>
      <x:c r="C13" s="2" t="str">
        <x:v>Total active seats</x:v>
      </x:c>
      <x:c r="D13" s="38" t="n">
        <x:f>Q13</x:f>
        <x:v>25.20635981725834</x:v>
      </x:c>
      <x:c r="E13" s="61"/>
      <x:c r="F13" s="38" t="n">
        <x:f>SUM(F11:F12)</x:f>
        <x:v>0</x:v>
      </x:c>
      <x:c r="G13" s="38" t="n">
        <x:f>SUM(G11:G12)</x:f>
        <x:v>0</x:v>
      </x:c>
      <x:c r="H13" s="38" t="n">
        <x:f>SUM(H11:H12)</x:f>
        <x:v>5</x:v>
      </x:c>
      <x:c r="I13" s="38" t="n">
        <x:f>SUM(I11:I12)</x:f>
        <x:v>5</x:v>
      </x:c>
      <x:c r="J13" s="38" t="n">
        <x:f>SUM(J11:J12)</x:f>
        <x:v>7.91</x:v>
      </x:c>
      <x:c r="K13" s="38" t="n">
        <x:f>SUM(K11:K12)</x:f>
        <x:v>9.8809</x:v>
      </x:c>
      <x:c r="L13" s="38" t="n">
        <x:f>SUM(L11:L12)</x:f>
        <x:v>10.762091</x:v>
      </x:c>
      <x:c r="M13" s="38" t="n">
        <x:f>SUM(M11:M12)</x:f>
        <x:v>13.868470089999999</x:v>
      </x:c>
      <x:c r="N13" s="38" t="n">
        <x:f>SUM(N11:N12)</x:f>
        <x:v>16.545785389099997</x:v>
      </x:c>
      <x:c r="O13" s="38" t="n">
        <x:f>SUM(O11:O12)</x:f>
        <x:v>18.788327535209</x:v>
      </x:c>
      <x:c r="P13" s="38" t="n">
        <x:f>SUM(P11:P12)</x:f>
        <x:v>22.00844425985691</x:v>
      </x:c>
      <x:c r="Q13" s="38" t="n">
        <x:f>SUM(Q11:Q12)</x:f>
        <x:v>25.20635981725834</x:v>
      </x:c>
      <x:c r="R13" s="3"/>
      <x:c r="S13" s="3"/>
    </x:row>
    <x:row r="14" ht="21" customHeight="1">
      <x:c r="A14" s="2"/>
      <x:c r="B14" s="2"/>
      <x:c r="C14" s="2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3"/>
      <x:c r="S14" s="3"/>
    </x:row>
    <x:row r="15" ht="21" customHeight="1">
      <x:c r="A15" s="2"/>
      <x:c r="B15" s="2"/>
      <x:c r="C15" s="2" t="str">
        <x:v>Pilot gross collections</x:v>
      </x:c>
      <x:c r="D15" s="39" t="n">
        <x:f>SUM(F15:Q15)</x:f>
        <x:v>111000</x:v>
      </x:c>
      <x:c r="E15" s="63"/>
      <x:c r="F15" s="40" t="n">
        <x:f>F9*'Assumptions'!$F$42</x:f>
        <x:v>0</x:v>
      </x:c>
      <x:c r="G15" s="40" t="n">
        <x:f>G9*'Assumptions'!$F$42</x:f>
        <x:v>0</x:v>
      </x:c>
      <x:c r="H15" s="40" t="n">
        <x:f>H9*'Assumptions'!$F$42</x:f>
        <x:v>15000</x:v>
      </x:c>
      <x:c r="I15" s="40" t="n">
        <x:f>I9*'Assumptions'!$F$42</x:f>
        <x:v>0</x:v>
      </x:c>
      <x:c r="J15" s="40" t="n">
        <x:f>J9*'Assumptions'!$F$42</x:f>
        <x:v>15000</x:v>
      </x:c>
      <x:c r="K15" s="40" t="n">
        <x:f>K9*'Assumptions'!$F$42</x:f>
        <x:v>6000</x:v>
      </x:c>
      <x:c r="L15" s="40" t="n">
        <x:f>L9*'Assumptions'!$F$42</x:f>
        <x:v>9000</x:v>
      </x:c>
      <x:c r="M15" s="40" t="n">
        <x:f>M9*'Assumptions'!$F$42</x:f>
        <x:v>12000</x:v>
      </x:c>
      <x:c r="N15" s="40" t="n">
        <x:f>N9*'Assumptions'!$F$42</x:f>
        <x:v>12000</x:v>
      </x:c>
      <x:c r="O15" s="40" t="n">
        <x:f>O9*'Assumptions'!$F$42</x:f>
        <x:v>12000</x:v>
      </x:c>
      <x:c r="P15" s="40" t="n">
        <x:f>P9*'Assumptions'!$F$42</x:f>
        <x:v>15000</x:v>
      </x:c>
      <x:c r="Q15" s="40" t="n">
        <x:f>Q9*'Assumptions'!$F$42</x:f>
        <x:v>15000</x:v>
      </x:c>
      <x:c r="R15" s="3"/>
      <x:c r="S15" s="3"/>
    </x:row>
    <x:row r="16" ht="21" customHeight="1">
      <x:c r="A16" s="2"/>
      <x:c r="B16" s="2"/>
      <x:c r="C16" s="2" t="str">
        <x:v>Pilot cash refunds</x:v>
      </x:c>
      <x:c r="D16" s="39" t="n">
        <x:f>SUM(F16:Q16)</x:f>
        <x:v>3330</x:v>
      </x:c>
      <x:c r="E16" s="63"/>
      <x:c r="F16" s="40" t="n">
        <x:f>F15*'Assumptions'!F19</x:f>
        <x:v>0</x:v>
      </x:c>
      <x:c r="G16" s="40" t="n">
        <x:f>G15*'Assumptions'!G19</x:f>
        <x:v>0</x:v>
      </x:c>
      <x:c r="H16" s="40" t="n">
        <x:f>H15*'Assumptions'!H19</x:f>
        <x:v>450</x:v>
      </x:c>
      <x:c r="I16" s="40" t="n">
        <x:f>I15*'Assumptions'!I19</x:f>
        <x:v>0</x:v>
      </x:c>
      <x:c r="J16" s="40" t="n">
        <x:f>J15*'Assumptions'!J19</x:f>
        <x:v>450</x:v>
      </x:c>
      <x:c r="K16" s="40" t="n">
        <x:f>K15*'Assumptions'!K19</x:f>
        <x:v>180</x:v>
      </x:c>
      <x:c r="L16" s="40" t="n">
        <x:f>L15*'Assumptions'!L19</x:f>
        <x:v>270</x:v>
      </x:c>
      <x:c r="M16" s="40" t="n">
        <x:f>M15*'Assumptions'!M19</x:f>
        <x:v>360</x:v>
      </x:c>
      <x:c r="N16" s="40" t="n">
        <x:f>N15*'Assumptions'!N19</x:f>
        <x:v>360</x:v>
      </x:c>
      <x:c r="O16" s="40" t="n">
        <x:f>O15*'Assumptions'!O19</x:f>
        <x:v>360</x:v>
      </x:c>
      <x:c r="P16" s="40" t="n">
        <x:f>P15*'Assumptions'!P19</x:f>
        <x:v>450</x:v>
      </x:c>
      <x:c r="Q16" s="40" t="n">
        <x:f>Q15*'Assumptions'!Q19</x:f>
        <x:v>450</x:v>
      </x:c>
      <x:c r="R16" s="3"/>
      <x:c r="S16" s="3"/>
    </x:row>
    <x:row r="17" ht="21" customHeight="1">
      <x:c r="A17" s="2"/>
      <x:c r="B17" s="2"/>
      <x:c r="C17" s="2" t="str">
        <x:v>Remaining-term prepay collections</x:v>
      </x:c>
      <x:c r="D17" s="39" t="n">
        <x:f>SUM(F17:Q17)</x:f>
        <x:v>70713</x:v>
      </x:c>
      <x:c r="E17" s="63"/>
      <x:c r="F17" s="40" t="n">
        <x:f>'Cohorts'!F39</x:f>
        <x:v>0</x:v>
      </x:c>
      <x:c r="G17" s="40" t="n">
        <x:f>'Cohorts'!G39</x:f>
        <x:v>0</x:v>
      </x:c>
      <x:c r="H17" s="40" t="n">
        <x:f>'Cohorts'!H39</x:f>
        <x:v>0</x:v>
      </x:c>
      <x:c r="I17" s="40" t="n">
        <x:f>'Cohorts'!I39</x:f>
        <x:v>0</x:v>
      </x:c>
      <x:c r="J17" s="40" t="n">
        <x:f>'Cohorts'!J39</x:f>
        <x:v>13094.999999999998</x:v>
      </x:c>
      <x:c r="K17" s="40" t="n">
        <x:f>'Cohorts'!K39</x:f>
        <x:v>0</x:v>
      </x:c>
      <x:c r="L17" s="40" t="n">
        <x:f>'Cohorts'!L39</x:f>
        <x:v>13094.999999999998</x:v>
      </x:c>
      <x:c r="M17" s="40" t="n">
        <x:f>'Cohorts'!M39</x:f>
        <x:v>5238</x:v>
      </x:c>
      <x:c r="N17" s="40" t="n">
        <x:f>'Cohorts'!N39</x:f>
        <x:v>7857</x:v>
      </x:c>
      <x:c r="O17" s="40" t="n">
        <x:f>'Cohorts'!O39</x:f>
        <x:v>10476</x:v>
      </x:c>
      <x:c r="P17" s="40" t="n">
        <x:f>'Cohorts'!P39</x:f>
        <x:v>10476</x:v>
      </x:c>
      <x:c r="Q17" s="40" t="n">
        <x:f>'Cohorts'!Q39</x:f>
        <x:v>10476</x:v>
      </x:c>
      <x:c r="R17" s="3"/>
      <x:c r="S17" s="3"/>
    </x:row>
    <x:row r="18" ht="21" customHeight="1">
      <x:c r="A18" s="2"/>
      <x:c r="B18" s="2"/>
      <x:c r="C18" s="2" t="str">
        <x:v>Program installment collections</x:v>
      </x:c>
      <x:c r="D18" s="39" t="n">
        <x:f>SUM(F18:Q18)</x:f>
        <x:v>29686.67014114091</x:v>
      </x:c>
      <x:c r="E18" s="63"/>
      <x:c r="F18" s="40" t="n">
        <x:f>'Cohorts'!F57</x:f>
        <x:v>0</x:v>
      </x:c>
      <x:c r="G18" s="40" t="n">
        <x:f>'Cohorts'!G57</x:f>
        <x:v>0</x:v>
      </x:c>
      <x:c r="H18" s="40" t="n">
        <x:f>'Cohorts'!H57</x:f>
        <x:v>0</x:v>
      </x:c>
      <x:c r="I18" s="40" t="n">
        <x:f>'Cohorts'!I57</x:f>
        <x:v>0</x:v>
      </x:c>
      <x:c r="J18" s="40" t="n">
        <x:f>'Cohorts'!J57</x:f>
        <x:v>1309.4999999999998</x:v>
      </x:c>
      <x:c r="K18" s="40" t="n">
        <x:f>'Cohorts'!K57</x:f>
        <x:v>1296.4049999999997</x:v>
      </x:c>
      <x:c r="L18" s="40" t="n">
        <x:f>'Cohorts'!L57</x:f>
        <x:v>2592.9409499999997</x:v>
      </x:c>
      <x:c r="M18" s="40" t="n">
        <x:f>'Cohorts'!M57</x:f>
        <x:v>3090.8115405</x:v>
      </x:c>
      <x:c r="N18" s="40" t="n">
        <x:f>'Cohorts'!N57</x:f>
        <x:v>3845.6034250949997</x:v>
      </x:c>
      <x:c r="O18" s="40" t="n">
        <x:f>'Cohorts'!O57</x:f>
        <x:v>4854.74739084405</x:v>
      </x:c>
      <x:c r="P18" s="40" t="n">
        <x:f>'Cohorts'!P57</x:f>
        <x:v>5853.799916935608</x:v>
      </x:c>
      <x:c r="Q18" s="40" t="n">
        <x:f>'Cohorts'!Q57</x:f>
        <x:v>6842.861917766253</x:v>
      </x:c>
      <x:c r="R18" s="3"/>
      <x:c r="S18" s="3"/>
    </x:row>
    <x:row r="19" ht="21" customHeight="1">
      <x:c r="A19" s="2"/>
      <x:c r="B19" s="2"/>
      <x:c r="C19" s="2" t="str">
        <x:v>Unused-prepay refunds</x:v>
      </x:c>
      <x:c r="D19" s="39" t="n">
        <x:f>SUM(F19:Q19)</x:f>
        <x:v>1601.31901532448</x:v>
      </x:c>
      <x:c r="E19" s="63"/>
      <x:c r="F19" s="40" t="n">
        <x:f>'Cohorts'!F75</x:f>
        <x:v>0</x:v>
      </x:c>
      <x:c r="G19" s="40" t="n">
        <x:f>'Cohorts'!G75</x:f>
        <x:v>0</x:v>
      </x:c>
      <x:c r="H19" s="40" t="n">
        <x:f>'Cohorts'!H75</x:f>
        <x:v>0</x:v>
      </x:c>
      <x:c r="I19" s="40" t="n">
        <x:f>'Cohorts'!I75</x:f>
        <x:v>0</x:v>
      </x:c>
      <x:c r="J19" s="40" t="n">
        <x:f>'Cohorts'!J75</x:f>
        <x:v>0</x:v>
      </x:c>
      <x:c r="K19" s="40" t="n">
        <x:f>'Cohorts'!K75</x:f>
        <x:v>117.85499999999999</x:v>
      </x:c>
      <x:c r="L19" s="40" t="n">
        <x:f>'Cohorts'!L75</x:f>
        <x:v>103.71239999999999</x:v>
      </x:c>
      <x:c r="M19" s="40" t="n">
        <x:f>'Cohorts'!M75</x:f>
        <x:v>207.69586649999997</x:v>
      </x:c>
      <x:c r="N19" s="40" t="n">
        <x:f>'Cohorts'!N75</x:f>
        <x:v>227.09079242999996</x:v>
      </x:c>
      <x:c r="O19" s="40" t="n">
        <x:f>'Cohorts'!O75</x:f>
        <x:v>264.9338502547499</x:v>
      </x:c>
      <x:c r="P19" s="40" t="n">
        <x:f>'Cohorts'!P75</x:f>
        <x:v>318.497037843762</x:v>
      </x:c>
      <x:c r="Q19" s="40" t="n">
        <x:f>'Cohorts'!Q75</x:f>
        <x:v>361.53406829596827</x:v>
      </x:c>
      <x:c r="R19" s="3"/>
      <x:c r="S19" s="3"/>
    </x:row>
    <x:row r="20" ht="21" customHeight="1">
      <x:c r="A20" s="2"/>
      <x:c r="B20" s="2"/>
      <x:c r="C20" s="24" t="str">
        <x:v>Net customer collections</x:v>
      </x:c>
      <x:c r="D20" s="32" t="n">
        <x:f>SUM(F20:Q20)</x:f>
        <x:v>206468.35112581644</x:v>
      </x:c>
      <x:c r="E20" s="71"/>
      <x:c r="F20" s="32" t="n">
        <x:f>SUM(F15,F17:F18)-SUM(F16,F19)</x:f>
        <x:v>0</x:v>
      </x:c>
      <x:c r="G20" s="32" t="n">
        <x:f>SUM(G15,G17:G18)-SUM(G16,G19)</x:f>
        <x:v>0</x:v>
      </x:c>
      <x:c r="H20" s="32" t="n">
        <x:f>SUM(H15,H17:H18)-SUM(H16,H19)</x:f>
        <x:v>14550</x:v>
      </x:c>
      <x:c r="I20" s="32" t="n">
        <x:f>SUM(I15,I17:I18)-SUM(I16,I19)</x:f>
        <x:v>0</x:v>
      </x:c>
      <x:c r="J20" s="32" t="n">
        <x:f>SUM(J15,J17:J18)-SUM(J16,J19)</x:f>
        <x:v>28954.5</x:v>
      </x:c>
      <x:c r="K20" s="32" t="n">
        <x:f>SUM(K15,K17:K18)-SUM(K16,K19)</x:f>
        <x:v>6998.549999999999</x:v>
      </x:c>
      <x:c r="L20" s="32" t="n">
        <x:f>SUM(L15,L17:L18)-SUM(L16,L19)</x:f>
        <x:v>24314.228549999996</x:v>
      </x:c>
      <x:c r="M20" s="32" t="n">
        <x:f>SUM(M15,M17:M18)-SUM(M16,M19)</x:f>
        <x:v>19761.115674</x:v>
      </x:c>
      <x:c r="N20" s="32" t="n">
        <x:f>SUM(N15,N17:N18)-SUM(N16,N19)</x:f>
        <x:v>23115.512632665</x:v>
      </x:c>
      <x:c r="O20" s="32" t="n">
        <x:f>SUM(O15,O17:O18)-SUM(O16,O19)</x:f>
        <x:v>26705.8135405893</x:v>
      </x:c>
      <x:c r="P20" s="32" t="n">
        <x:f>SUM(P15,P17:P18)-SUM(P16,P19)</x:f>
        <x:v>30561.302879091847</x:v>
      </x:c>
      <x:c r="Q20" s="32" t="n">
        <x:f>SUM(Q15,Q17:Q18)-SUM(Q16,Q19)</x:f>
        <x:v>31507.327849470286</x:v>
      </x:c>
      <x:c r="R20" s="3"/>
      <x:c r="S20" s="3"/>
    </x:row>
    <x:row r="21" ht="21" customHeight="1">
      <x:c r="A21" s="2"/>
      <x:c r="B21" s="2"/>
      <x:c r="C21" s="2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3"/>
      <x:c r="S21" s="3"/>
    </x:row>
    <x:row r="22" ht="21" customHeight="1">
      <x:c r="A22" s="2"/>
      <x:c r="B22" s="2"/>
      <x:c r="C22" s="2" t="str">
        <x:v>Pilot recognized revenue</x:v>
      </x:c>
      <x:c r="D22" s="39" t="n">
        <x:f>SUM(F22:Q22)</x:f>
        <x:v>100395</x:v>
      </x:c>
      <x:c r="E22" s="63"/>
      <x:c r="F22" s="40" t="n">
        <x:f>(F15-F16)/'Assumptions'!$F$43</x:f>
        <x:v>0</x:v>
      </x:c>
      <x:c r="G22" s="40" t="n">
        <x:f>(G15-G16+F15-F16)/'Assumptions'!$F$43</x:f>
        <x:v>0</x:v>
      </x:c>
      <x:c r="H22" s="40" t="n">
        <x:f>(H15-H16+G15-G16)/'Assumptions'!$F$43</x:f>
        <x:v>7275</x:v>
      </x:c>
      <x:c r="I22" s="40" t="n">
        <x:f>(I15-I16+H15-H16)/'Assumptions'!$F$43</x:f>
        <x:v>7275</x:v>
      </x:c>
      <x:c r="J22" s="40" t="n">
        <x:f>(J15-J16+I15-I16)/'Assumptions'!$F$43</x:f>
        <x:v>7275</x:v>
      </x:c>
      <x:c r="K22" s="40" t="n">
        <x:f>(K15-K16+J15-J16)/'Assumptions'!$F$43</x:f>
        <x:v>10185</x:v>
      </x:c>
      <x:c r="L22" s="40" t="n">
        <x:f>(L15-L16+K15-K16)/'Assumptions'!$F$43</x:f>
        <x:v>7275</x:v>
      </x:c>
      <x:c r="M22" s="40" t="n">
        <x:f>(M15-M16+L15-L16)/'Assumptions'!$F$43</x:f>
        <x:v>10185</x:v>
      </x:c>
      <x:c r="N22" s="40" t="n">
        <x:f>(N15-N16+M15-M16)/'Assumptions'!$F$43</x:f>
        <x:v>11640</x:v>
      </x:c>
      <x:c r="O22" s="40" t="n">
        <x:f>(O15-O16+N15-N16)/'Assumptions'!$F$43</x:f>
        <x:v>11640</x:v>
      </x:c>
      <x:c r="P22" s="40" t="n">
        <x:f>(P15-P16+O15-O16)/'Assumptions'!$F$43</x:f>
        <x:v>13095</x:v>
      </x:c>
      <x:c r="Q22" s="40" t="n">
        <x:f>(Q15-Q16+P15-P16)/'Assumptions'!$F$43</x:f>
        <x:v>14550</x:v>
      </x:c>
      <x:c r="R22" s="3"/>
      <x:c r="S22" s="3"/>
    </x:row>
    <x:row r="23" ht="21" customHeight="1">
      <x:c r="A23" s="2"/>
      <x:c r="B23" s="2"/>
      <x:c r="C23" s="2" t="str">
        <x:v>Program recognized revenue</x:v>
      </x:c>
      <x:c r="D23" s="39" t="n">
        <x:f>SUM(F23:Q23)</x:f>
        <x:v>59373.34028228182</x:v>
      </x:c>
      <x:c r="E23" s="63"/>
      <x:c r="F23" s="40" t="n">
        <x:f>F12*'Unit economics'!$D$41</x:f>
        <x:v>0</x:v>
      </x:c>
      <x:c r="G23" s="40" t="n">
        <x:f>G12*'Unit economics'!$D$41</x:f>
        <x:v>0</x:v>
      </x:c>
      <x:c r="H23" s="40" t="n">
        <x:f>H12*'Unit economics'!$D$41</x:f>
        <x:v>0</x:v>
      </x:c>
      <x:c r="I23" s="40" t="n">
        <x:f>I12*'Unit economics'!$D$41</x:f>
        <x:v>0</x:v>
      </x:c>
      <x:c r="J23" s="40" t="n">
        <x:f>J12*'Unit economics'!$D$41</x:f>
        <x:v>2618.9999999999995</x:v>
      </x:c>
      <x:c r="K23" s="40" t="n">
        <x:f>K12*'Unit economics'!$D$41</x:f>
        <x:v>2592.8099999999995</x:v>
      </x:c>
      <x:c r="L23" s="40" t="n">
        <x:f>L12*'Unit economics'!$D$41</x:f>
        <x:v>5185.8819</x:v>
      </x:c>
      <x:c r="M23" s="40" t="n">
        <x:f>M12*'Unit economics'!$D$41</x:f>
        <x:v>6181.623080999999</x:v>
      </x:c>
      <x:c r="N23" s="40" t="n">
        <x:f>N12*'Unit economics'!$D$41</x:f>
        <x:v>7691.206850189999</x:v>
      </x:c>
      <x:c r="O23" s="40" t="n">
        <x:f>O12*'Unit economics'!$D$41</x:f>
        <x:v>9709.494781688098</x:v>
      </x:c>
      <x:c r="P23" s="40" t="n">
        <x:f>P12*'Unit economics'!$D$41</x:f>
        <x:v>11707.599833871218</x:v>
      </x:c>
      <x:c r="Q23" s="40" t="n">
        <x:f>Q12*'Unit economics'!$D$41</x:f>
        <x:v>13685.723835532504</x:v>
      </x:c>
      <x:c r="R23" s="3"/>
      <x:c r="S23" s="3"/>
    </x:row>
    <x:row r="24" ht="21" customHeight="1">
      <x:c r="A24" s="2"/>
      <x:c r="B24" s="2"/>
      <x:c r="C24" s="24" t="str">
        <x:v>Total recognized revenue</x:v>
      </x:c>
      <x:c r="D24" s="32" t="n">
        <x:f>SUM(F24:Q24)</x:f>
        <x:v>159768.3402822818</x:v>
      </x:c>
      <x:c r="E24" s="71"/>
      <x:c r="F24" s="32" t="n">
        <x:f>SUM(F22:F23)</x:f>
        <x:v>0</x:v>
      </x:c>
      <x:c r="G24" s="32" t="n">
        <x:f>SUM(G22:G23)</x:f>
        <x:v>0</x:v>
      </x:c>
      <x:c r="H24" s="32" t="n">
        <x:f>SUM(H22:H23)</x:f>
        <x:v>7275</x:v>
      </x:c>
      <x:c r="I24" s="32" t="n">
        <x:f>SUM(I22:I23)</x:f>
        <x:v>7275</x:v>
      </x:c>
      <x:c r="J24" s="32" t="n">
        <x:f>SUM(J22:J23)</x:f>
        <x:v>9894</x:v>
      </x:c>
      <x:c r="K24" s="32" t="n">
        <x:f>SUM(K22:K23)</x:f>
        <x:v>12777.81</x:v>
      </x:c>
      <x:c r="L24" s="32" t="n">
        <x:f>SUM(L22:L23)</x:f>
        <x:v>12460.8819</x:v>
      </x:c>
      <x:c r="M24" s="32" t="n">
        <x:f>SUM(M22:M23)</x:f>
        <x:v>16366.623080999998</x:v>
      </x:c>
      <x:c r="N24" s="32" t="n">
        <x:f>SUM(N22:N23)</x:f>
        <x:v>19331.20685019</x:v>
      </x:c>
      <x:c r="O24" s="32" t="n">
        <x:f>SUM(O22:O23)</x:f>
        <x:v>21349.494781688096</x:v>
      </x:c>
      <x:c r="P24" s="32" t="n">
        <x:f>SUM(P22:P23)</x:f>
        <x:v>24802.599833871216</x:v>
      </x:c>
      <x:c r="Q24" s="32" t="n">
        <x:f>SUM(Q22:Q23)</x:f>
        <x:v>28235.723835532503</x:v>
      </x:c>
      <x:c r="R24" s="3"/>
      <x:c r="S24" s="3"/>
    </x:row>
    <x:row r="25" ht="21" customHeight="1">
      <x:c r="A25" s="2"/>
      <x:c r="B25" s="2"/>
      <x:c r="C25" s="2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3"/>
      <x:c r="S25" s="3"/>
    </x:row>
    <x:row r="26" ht="21" customHeight="1">
      <x:c r="A26" s="2"/>
      <x:c r="B26" s="2"/>
      <x:c r="C26" s="2" t="str">
        <x:v>Pilot direct delivery costs</x:v>
      </x:c>
      <x:c r="D26" s="39" t="n">
        <x:f>SUM(F26:Q26)</x:f>
        <x:v>26565</x:v>
      </x:c>
      <x:c r="E26" s="63"/>
      <x:c r="F26" s="40" t="n">
        <x:f>F11*'Unit economics'!$I$35</x:f>
        <x:v>0</x:v>
      </x:c>
      <x:c r="G26" s="40" t="n">
        <x:f>G11*'Unit economics'!$I$35</x:f>
        <x:v>0</x:v>
      </x:c>
      <x:c r="H26" s="40" t="n">
        <x:f>H11*'Unit economics'!$I$35</x:f>
        <x:v>1925</x:v>
      </x:c>
      <x:c r="I26" s="40" t="n">
        <x:f>I11*'Unit economics'!$I$35</x:f>
        <x:v>1925</x:v>
      </x:c>
      <x:c r="J26" s="40" t="n">
        <x:f>J11*'Unit economics'!$I$35</x:f>
        <x:v>1925</x:v>
      </x:c>
      <x:c r="K26" s="40" t="n">
        <x:f>K11*'Unit economics'!$I$35</x:f>
        <x:v>2695</x:v>
      </x:c>
      <x:c r="L26" s="40" t="n">
        <x:f>L11*'Unit economics'!$I$35</x:f>
        <x:v>1925</x:v>
      </x:c>
      <x:c r="M26" s="40" t="n">
        <x:f>M11*'Unit economics'!$I$35</x:f>
        <x:v>2695</x:v>
      </x:c>
      <x:c r="N26" s="40" t="n">
        <x:f>N11*'Unit economics'!$I$35</x:f>
        <x:v>3080</x:v>
      </x:c>
      <x:c r="O26" s="40" t="n">
        <x:f>O11*'Unit economics'!$I$35</x:f>
        <x:v>3080</x:v>
      </x:c>
      <x:c r="P26" s="40" t="n">
        <x:f>P11*'Unit economics'!$I$35</x:f>
        <x:v>3465</x:v>
      </x:c>
      <x:c r="Q26" s="40" t="n">
        <x:f>Q11*'Unit economics'!$I$35</x:f>
        <x:v>3850</x:v>
      </x:c>
      <x:c r="R26" s="3"/>
      <x:c r="S26" s="3"/>
    </x:row>
    <x:row r="27" ht="21" customHeight="1">
      <x:c r="A27" s="2"/>
      <x:c r="B27" s="2"/>
      <x:c r="C27" s="2" t="str">
        <x:v>Program direct delivery costs</x:v>
      </x:c>
      <x:c r="D27" s="39" t="n">
        <x:f>SUM(F27:Q27)</x:f>
        <x:v>17812.002084684547</x:v>
      </x:c>
      <x:c r="E27" s="63"/>
      <x:c r="F27" s="40" t="n">
        <x:f>F12*'Unit economics'!$I$36</x:f>
        <x:v>0</x:v>
      </x:c>
      <x:c r="G27" s="40" t="n">
        <x:f>G12*'Unit economics'!$I$36</x:f>
        <x:v>0</x:v>
      </x:c>
      <x:c r="H27" s="40" t="n">
        <x:f>H12*'Unit economics'!$I$36</x:f>
        <x:v>0</x:v>
      </x:c>
      <x:c r="I27" s="40" t="n">
        <x:f>I12*'Unit economics'!$I$36</x:f>
        <x:v>0</x:v>
      </x:c>
      <x:c r="J27" s="40" t="n">
        <x:f>J12*'Unit economics'!$I$36</x:f>
        <x:v>785.6999999999999</x:v>
      </x:c>
      <x:c r="K27" s="40" t="n">
        <x:f>K12*'Unit economics'!$I$36</x:f>
        <x:v>777.8429999999998</x:v>
      </x:c>
      <x:c r="L27" s="40" t="n">
        <x:f>L12*'Unit economics'!$I$36</x:f>
        <x:v>1555.76457</x:v>
      </x:c>
      <x:c r="M27" s="40" t="n">
        <x:f>M12*'Unit economics'!$I$36</x:f>
        <x:v>1854.4869242999996</x:v>
      </x:c>
      <x:c r="N27" s="40" t="n">
        <x:f>N12*'Unit economics'!$I$36</x:f>
        <x:v>2307.362055057</x:v>
      </x:c>
      <x:c r="O27" s="40" t="n">
        <x:f>O12*'Unit economics'!$I$36</x:f>
        <x:v>2912.8484345064294</x:v>
      </x:c>
      <x:c r="P27" s="40" t="n">
        <x:f>P12*'Unit economics'!$I$36</x:f>
        <x:v>3512.2799501613654</x:v>
      </x:c>
      <x:c r="Q27" s="40" t="n">
        <x:f>Q12*'Unit economics'!$I$36</x:f>
        <x:v>4105.7171506597515</x:v>
      </x:c>
      <x:c r="R27" s="3"/>
      <x:c r="S27" s="3"/>
    </x:row>
    <x:row r="28" ht="21" customHeight="1">
      <x:c r="A28" s="2"/>
      <x:c r="B28" s="2"/>
      <x:c r="C28" s="2" t="str">
        <x:v>Pilot onboarding costs</x:v>
      </x:c>
      <x:c r="D28" s="39" t="n">
        <x:f>SUM(F28:Q28)</x:f>
        <x:v>5735</x:v>
      </x:c>
      <x:c r="E28" s="63"/>
      <x:c r="F28" s="40" t="n">
        <x:f>F9*'Unit economics'!$I$37</x:f>
        <x:v>0</x:v>
      </x:c>
      <x:c r="G28" s="40" t="n">
        <x:f>G9*'Unit economics'!$I$37</x:f>
        <x:v>0</x:v>
      </x:c>
      <x:c r="H28" s="40" t="n">
        <x:f>H9*'Unit economics'!$I$37</x:f>
        <x:v>775</x:v>
      </x:c>
      <x:c r="I28" s="40" t="n">
        <x:f>I9*'Unit economics'!$I$37</x:f>
        <x:v>0</x:v>
      </x:c>
      <x:c r="J28" s="40" t="n">
        <x:f>J9*'Unit economics'!$I$37</x:f>
        <x:v>775</x:v>
      </x:c>
      <x:c r="K28" s="40" t="n">
        <x:f>K9*'Unit economics'!$I$37</x:f>
        <x:v>310</x:v>
      </x:c>
      <x:c r="L28" s="40" t="n">
        <x:f>L9*'Unit economics'!$I$37</x:f>
        <x:v>465</x:v>
      </x:c>
      <x:c r="M28" s="40" t="n">
        <x:f>M9*'Unit economics'!$I$37</x:f>
        <x:v>620</x:v>
      </x:c>
      <x:c r="N28" s="40" t="n">
        <x:f>N9*'Unit economics'!$I$37</x:f>
        <x:v>620</x:v>
      </x:c>
      <x:c r="O28" s="40" t="n">
        <x:f>O9*'Unit economics'!$I$37</x:f>
        <x:v>620</x:v>
      </x:c>
      <x:c r="P28" s="40" t="n">
        <x:f>P9*'Unit economics'!$I$37</x:f>
        <x:v>775</x:v>
      </x:c>
      <x:c r="Q28" s="40" t="n">
        <x:f>Q9*'Unit economics'!$I$37</x:f>
        <x:v>775</x:v>
      </x:c>
      <x:c r="R28" s="3"/>
      <x:c r="S28" s="3"/>
    </x:row>
    <x:row r="29" ht="21" customHeight="1">
      <x:c r="A29" s="2"/>
      <x:c r="B29" s="2"/>
      <x:c r="C29" s="2" t="str">
        <x:v>General clinic groups</x:v>
      </x:c>
      <x:c r="D29" s="38" t="n">
        <x:f>Q29</x:f>
        <x:v>2</x:v>
      </x:c>
      <x:c r="E29" s="61"/>
      <x:c r="F29" s="37" t="n">
        <x:f>ROUNDUP(F13/'Assumptions'!$F$46,0)</x:f>
        <x:v>0</x:v>
      </x:c>
      <x:c r="G29" s="37" t="n">
        <x:f>ROUNDUP(G13/'Assumptions'!$F$46,0)</x:f>
        <x:v>0</x:v>
      </x:c>
      <x:c r="H29" s="37" t="n">
        <x:f>ROUNDUP(H13/'Assumptions'!$F$46,0)</x:f>
        <x:v>1</x:v>
      </x:c>
      <x:c r="I29" s="37" t="n">
        <x:f>ROUNDUP(I13/'Assumptions'!$F$46,0)</x:f>
        <x:v>1</x:v>
      </x:c>
      <x:c r="J29" s="37" t="n">
        <x:f>ROUNDUP(J13/'Assumptions'!$F$46,0)</x:f>
        <x:v>1</x:v>
      </x:c>
      <x:c r="K29" s="37" t="n">
        <x:f>ROUNDUP(K13/'Assumptions'!$F$46,0)</x:f>
        <x:v>1</x:v>
      </x:c>
      <x:c r="L29" s="37" t="n">
        <x:f>ROUNDUP(L13/'Assumptions'!$F$46,0)</x:f>
        <x:v>1</x:v>
      </x:c>
      <x:c r="M29" s="37" t="n">
        <x:f>ROUNDUP(M13/'Assumptions'!$F$46,0)</x:f>
        <x:v>1</x:v>
      </x:c>
      <x:c r="N29" s="37" t="n">
        <x:f>ROUNDUP(N13/'Assumptions'!$F$46,0)</x:f>
        <x:v>2</x:v>
      </x:c>
      <x:c r="O29" s="37" t="n">
        <x:f>ROUNDUP(O13/'Assumptions'!$F$46,0)</x:f>
        <x:v>2</x:v>
      </x:c>
      <x:c r="P29" s="37" t="n">
        <x:f>ROUNDUP(P13/'Assumptions'!$F$46,0)</x:f>
        <x:v>2</x:v>
      </x:c>
      <x:c r="Q29" s="37" t="n">
        <x:f>ROUNDUP(Q13/'Assumptions'!$F$46,0)</x:f>
        <x:v>2</x:v>
      </x:c>
      <x:c r="R29" s="3"/>
      <x:c r="S29" s="3"/>
    </x:row>
    <x:row r="30" ht="21" customHeight="1">
      <x:c r="A30" s="2"/>
      <x:c r="B30" s="2"/>
      <x:c r="C30" s="2" t="str">
        <x:v>General clinic costs</x:v>
      </x:c>
      <x:c r="D30" s="39" t="n">
        <x:f>SUM(F30:Q30)</x:f>
        <x:v>7000</x:v>
      </x:c>
      <x:c r="E30" s="63"/>
      <x:c r="F30" s="40" t="n">
        <x:f>F29*'Assumptions'!$F$47*'Assumptions'!$F$60</x:f>
        <x:v>0</x:v>
      </x:c>
      <x:c r="G30" s="40" t="n">
        <x:f>G29*'Assumptions'!$F$47*'Assumptions'!$F$60</x:f>
        <x:v>0</x:v>
      </x:c>
      <x:c r="H30" s="40" t="n">
        <x:f>H29*'Assumptions'!$F$47*'Assumptions'!$F$60</x:f>
        <x:v>500</x:v>
      </x:c>
      <x:c r="I30" s="40" t="n">
        <x:f>I29*'Assumptions'!$F$47*'Assumptions'!$F$60</x:f>
        <x:v>500</x:v>
      </x:c>
      <x:c r="J30" s="40" t="n">
        <x:f>J29*'Assumptions'!$F$47*'Assumptions'!$F$60</x:f>
        <x:v>500</x:v>
      </x:c>
      <x:c r="K30" s="40" t="n">
        <x:f>K29*'Assumptions'!$F$47*'Assumptions'!$F$60</x:f>
        <x:v>500</x:v>
      </x:c>
      <x:c r="L30" s="40" t="n">
        <x:f>L29*'Assumptions'!$F$47*'Assumptions'!$F$60</x:f>
        <x:v>500</x:v>
      </x:c>
      <x:c r="M30" s="40" t="n">
        <x:f>M29*'Assumptions'!$F$47*'Assumptions'!$F$60</x:f>
        <x:v>500</x:v>
      </x:c>
      <x:c r="N30" s="40" t="n">
        <x:f>N29*'Assumptions'!$F$47*'Assumptions'!$F$60</x:f>
        <x:v>1000</x:v>
      </x:c>
      <x:c r="O30" s="40" t="n">
        <x:f>O29*'Assumptions'!$F$47*'Assumptions'!$F$60</x:f>
        <x:v>1000</x:v>
      </x:c>
      <x:c r="P30" s="40" t="n">
        <x:f>P29*'Assumptions'!$F$47*'Assumptions'!$F$60</x:f>
        <x:v>1000</x:v>
      </x:c>
      <x:c r="Q30" s="40" t="n">
        <x:f>Q29*'Assumptions'!$F$47*'Assumptions'!$F$60</x:f>
        <x:v>1000</x:v>
      </x:c>
      <x:c r="R30" s="3"/>
      <x:c r="S30" s="3"/>
    </x:row>
    <x:row r="31" ht="21" customHeight="1">
      <x:c r="A31" s="2"/>
      <x:c r="B31" s="2"/>
      <x:c r="C31" s="2" t="str">
        <x:v>Payment fees</x:v>
      </x:c>
      <x:c r="D31" s="39" t="n">
        <x:f>SUM(F31:Q31)</x:f>
        <x:v>6153.9430908068</x:v>
      </x:c>
      <x:c r="E31" s="63"/>
      <x:c r="F31" s="40" t="n">
        <x:f>SUM(F15,F17:F18)*'Assumptions'!$F$48+(F9+F17/'Unit economics'!$D$39+F18/'Unit economics'!$D$41)*'Assumptions'!$F$49</x:f>
        <x:v>0</x:v>
      </x:c>
      <x:c r="G31" s="40" t="n">
        <x:f>SUM(G15,G17:G18)*'Assumptions'!$F$48+(G9+G17/'Unit economics'!$D$39+G18/'Unit economics'!$D$41)*'Assumptions'!$F$49</x:f>
        <x:v>0</x:v>
      </x:c>
      <x:c r="H31" s="40" t="n">
        <x:f>SUM(H15,H17:H18)*'Assumptions'!$F$48+(H9+H17/'Unit economics'!$D$39+H18/'Unit economics'!$D$41)*'Assumptions'!$F$49</x:f>
        <x:v>436.5</x:v>
      </x:c>
      <x:c r="I31" s="40" t="n">
        <x:f>SUM(I15,I17:I18)*'Assumptions'!$F$48+(I9+I17/'Unit economics'!$D$39+I18/'Unit economics'!$D$41)*'Assumptions'!$F$49</x:f>
        <x:v>0</x:v>
      </x:c>
      <x:c r="J31" s="40" t="n">
        <x:f>SUM(J15,J17:J18)*'Assumptions'!$F$48+(J9+J17/'Unit economics'!$D$39+J18/'Unit economics'!$D$41)*'Assumptions'!$F$49</x:f>
        <x:v>855.1035</x:v>
      </x:c>
      <x:c r="K31" s="40" t="n">
        <x:f>SUM(K15,K17:K18)*'Assumptions'!$F$48+(K9+K17/'Unit economics'!$D$39+K18/'Unit economics'!$D$41)*'Assumptions'!$F$49</x:f>
        <x:v>212.62788</x:v>
      </x:c>
      <x:c r="L31" s="40" t="n">
        <x:f>SUM(L15,L17:L18)*'Assumptions'!$F$48+(L9+L17/'Unit economics'!$D$39+L18/'Unit economics'!$D$41)*'Assumptions'!$F$49</x:f>
        <x:v>718.1511012</x:v>
      </x:c>
      <x:c r="M31" s="40" t="n">
        <x:f>SUM(M15,M17:M18)*'Assumptions'!$F$48+(M9+M17/'Unit economics'!$D$39+M18/'Unit economics'!$D$41)*'Assumptions'!$F$49</x:f>
        <x:v>591.940405188</x:v>
      </x:c>
      <x:c r="N31" s="40" t="n">
        <x:f>SUM(N15,N17:N18)*'Assumptions'!$F$48+(N9+N17/'Unit economics'!$D$39+N18/'Unit economics'!$D$41)*'Assumptions'!$F$49</x:f>
        <x:v>690.11926713612</x:v>
      </x:c>
      <x:c r="O31" s="40" t="n">
        <x:f>SUM(O15,O17:O18)*'Assumptions'!$F$48+(O9+O17/'Unit economics'!$D$39+O18/'Unit economics'!$D$41)*'Assumptions'!$F$49</x:f>
        <x:v>795.7591234647589</x:v>
      </x:c>
      <x:c r="P31" s="40" t="n">
        <x:f>SUM(P15,P17:P18)*'Assumptions'!$F$48+(P9+P17/'Unit economics'!$D$39+P18/'Unit economics'!$D$41)*'Assumptions'!$F$49</x:f>
        <x:v>912.3646642301112</x:v>
      </x:c>
      <x:c r="Q31" s="40" t="n">
        <x:f>SUM(Q15,Q17:Q18)*'Assumptions'!$F$48+(Q9+Q17/'Unit economics'!$D$39+Q18/'Unit economics'!$D$41)*'Assumptions'!$F$49</x:f>
        <x:v>941.3771495878102</x:v>
      </x:c>
      <x:c r="R31" s="3"/>
      <x:c r="S31" s="3"/>
    </x:row>
    <x:row r="32" ht="21" customHeight="1">
      <x:c r="A32" s="2"/>
      <x:c r="B32" s="2"/>
      <x:c r="C32" s="24" t="str">
        <x:v>Total direct service costs</x:v>
      </x:c>
      <x:c r="D32" s="32" t="n">
        <x:f>SUM(F32:Q32)</x:f>
        <x:v>63265.94517549135</x:v>
      </x:c>
      <x:c r="E32" s="71"/>
      <x:c r="F32" s="32" t="n">
        <x:f>SUM(F26:F28,F30:F31)</x:f>
        <x:v>0</x:v>
      </x:c>
      <x:c r="G32" s="32" t="n">
        <x:f>SUM(G26:G28,G30:G31)</x:f>
        <x:v>0</x:v>
      </x:c>
      <x:c r="H32" s="32" t="n">
        <x:f>SUM(H26:H28,H30:H31)</x:f>
        <x:v>3636.5</x:v>
      </x:c>
      <x:c r="I32" s="32" t="n">
        <x:f>SUM(I26:I28,I30:I31)</x:f>
        <x:v>2425</x:v>
      </x:c>
      <x:c r="J32" s="32" t="n">
        <x:f>SUM(J26:J28,J30:J31)</x:f>
        <x:v>4840.8035</x:v>
      </x:c>
      <x:c r="K32" s="32" t="n">
        <x:f>SUM(K26:K28,K30:K31)</x:f>
        <x:v>4495.47088</x:v>
      </x:c>
      <x:c r="L32" s="32" t="n">
        <x:f>SUM(L26:L28,L30:L31)</x:f>
        <x:v>5163.9156712</x:v>
      </x:c>
      <x:c r="M32" s="32" t="n">
        <x:f>SUM(M26:M28,M30:M31)</x:f>
        <x:v>6261.4273294879995</x:v>
      </x:c>
      <x:c r="N32" s="32" t="n">
        <x:f>SUM(N26:N28,N30:N31)</x:f>
        <x:v>7697.48132219312</x:v>
      </x:c>
      <x:c r="O32" s="32" t="n">
        <x:f>SUM(O26:O28,O30:O31)</x:f>
        <x:v>8408.607557971189</x:v>
      </x:c>
      <x:c r="P32" s="32" t="n">
        <x:f>SUM(P26:P28,P30:P31)</x:f>
        <x:v>9664.644614391476</x:v>
      </x:c>
      <x:c r="Q32" s="32" t="n">
        <x:f>SUM(Q26:Q28,Q30:Q31)</x:f>
        <x:v>10672.094300247561</x:v>
      </x:c>
      <x:c r="R32" s="3"/>
      <x:c r="S32" s="3"/>
    </x:row>
    <x:row r="33" ht="21" customHeight="1">
      <x:c r="A33" s="2"/>
      <x:c r="B33" s="2"/>
      <x:c r="C33" s="2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3"/>
      <x:c r="S33" s="3"/>
    </x:row>
    <x:row r="34" ht="21" customHeight="1">
      <x:c r="A34" s="2"/>
      <x:c r="B34" s="2"/>
      <x:c r="C34" s="24" t="str">
        <x:v>Gross profit</x:v>
      </x:c>
      <x:c r="D34" s="32" t="n">
        <x:f>SUM(F34:Q34)</x:f>
        <x:v>96502.39510679047</x:v>
      </x:c>
      <x:c r="E34" s="71"/>
      <x:c r="F34" s="32" t="n">
        <x:f>F24-F32</x:f>
        <x:v>0</x:v>
      </x:c>
      <x:c r="G34" s="32" t="n">
        <x:f>G24-G32</x:f>
        <x:v>0</x:v>
      </x:c>
      <x:c r="H34" s="32" t="n">
        <x:f>H24-H32</x:f>
        <x:v>3638.5</x:v>
      </x:c>
      <x:c r="I34" s="32" t="n">
        <x:f>I24-I32</x:f>
        <x:v>4850</x:v>
      </x:c>
      <x:c r="J34" s="32" t="n">
        <x:f>J24-J32</x:f>
        <x:v>5053.1965</x:v>
      </x:c>
      <x:c r="K34" s="32" t="n">
        <x:f>K24-K32</x:f>
        <x:v>8282.33912</x:v>
      </x:c>
      <x:c r="L34" s="32" t="n">
        <x:f>L24-L32</x:f>
        <x:v>7296.9662288</x:v>
      </x:c>
      <x:c r="M34" s="32" t="n">
        <x:f>M24-M32</x:f>
        <x:v>10105.195751511998</x:v>
      </x:c>
      <x:c r="N34" s="32" t="n">
        <x:f>N24-N32</x:f>
        <x:v>11633.72552799688</x:v>
      </x:c>
      <x:c r="O34" s="32" t="n">
        <x:f>O24-O32</x:f>
        <x:v>12940.887223716907</x:v>
      </x:c>
      <x:c r="P34" s="32" t="n">
        <x:f>P24-P32</x:f>
        <x:v>15137.95521947974</x:v>
      </x:c>
      <x:c r="Q34" s="32" t="n">
        <x:f>Q24-Q32</x:f>
        <x:v>17563.62953528494</x:v>
      </x:c>
      <x:c r="R34" s="3"/>
      <x:c r="S34" s="3"/>
    </x:row>
    <x:row r="35" ht="21" customHeight="1">
      <x:c r="A35" s="2"/>
      <x:c r="B35" s="2"/>
      <x:c r="C35" s="57" t="str">
        <x:v>Gross margin</x:v>
      </x:c>
      <x:c r="D35" s="66" t="n">
        <x:f>D34/D24</x:f>
        <x:v>0.604014505854465</x:v>
      </x:c>
      <x:c r="E35" s="67"/>
      <x:c r="F35" s="66" t="str">
        <x:f>IF(F24=0,"n.a.",F34/F24)</x:f>
        <x:v>n.a.</x:v>
      </x:c>
      <x:c r="G35" s="66" t="str">
        <x:f>IF(G24=0,"n.a.",G34/G24)</x:f>
        <x:v>n.a.</x:v>
      </x:c>
      <x:c r="H35" s="66" t="n">
        <x:f>IF(H24=0,"n.a.",H34/H24)</x:f>
        <x:v>0.5001374570446735</x:v>
      </x:c>
      <x:c r="I35" s="66" t="n">
        <x:f>IF(I24=0,"n.a.",I34/I24)</x:f>
        <x:v>0.6666666666666666</x:v>
      </x:c>
      <x:c r="J35" s="66" t="n">
        <x:f>IF(J24=0,"n.a.",J34/J24)</x:f>
        <x:v>0.5107334242975541</x:v>
      </x:c>
      <x:c r="K35" s="66" t="n">
        <x:f>IF(K24=0,"n.a.",K34/K24)</x:f>
        <x:v>0.6481814270207493</x:v>
      </x:c>
      <x:c r="L35" s="66" t="n">
        <x:f>IF(L24=0,"n.a.",L34/L24)</x:f>
        <x:v>0.5855898713557345</x:v>
      </x:c>
      <x:c r="M35" s="66" t="n">
        <x:f>IF(M24=0,"n.a.",M34/M24)</x:f>
        <x:v>0.6174270465874608</x:v>
      </x:c>
      <x:c r="N35" s="66" t="n">
        <x:f>IF(N24=0,"n.a.",N34/N24)</x:f>
        <x:v>0.6018106173170733</x:v>
      </x:c>
      <x:c r="O35" s="66" t="n">
        <x:f>IF(O24=0,"n.a.",O34/O24)</x:f>
        <x:v>0.6061448927033428</x:v>
      </x:c>
      <x:c r="P35" s="66" t="n">
        <x:f>IF(P24=0,"n.a.",P34/P24)</x:f>
        <x:v>0.6103374372394167</x:v>
      </x:c>
      <x:c r="Q35" s="66" t="n">
        <x:f>IF(Q24=0,"n.a.",Q34/Q24)</x:f>
        <x:v>0.6220357458370681</x:v>
      </x:c>
      <x:c r="R35" s="3"/>
      <x:c r="S35" s="3"/>
    </x:row>
    <x:row r="36" ht="21" customHeight="1">
      <x:c r="A36" s="2"/>
      <x:c r="B36" s="2"/>
      <x:c r="C36" s="2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3"/>
      <x:c r="S36" s="3"/>
    </x:row>
    <x:row r="37" ht="21" customHeight="1">
      <x:c r="A37" s="2"/>
      <x:c r="B37" s="2"/>
      <x:c r="C37" s="2" t="str">
        <x:v>Customer acquisition</x:v>
      </x:c>
      <x:c r="D37" s="39" t="n">
        <x:f>SUM(F37:Q37)</x:f>
        <x:v>33300</x:v>
      </x:c>
      <x:c r="E37" s="63"/>
      <x:c r="F37" s="40" t="n">
        <x:f>F9*'Assumptions'!F34</x:f>
        <x:v>0</x:v>
      </x:c>
      <x:c r="G37" s="40" t="n">
        <x:f>G9*'Assumptions'!G34</x:f>
        <x:v>0</x:v>
      </x:c>
      <x:c r="H37" s="40" t="n">
        <x:f>H9*'Assumptions'!H34</x:f>
        <x:v>4500</x:v>
      </x:c>
      <x:c r="I37" s="40" t="n">
        <x:f>I9*'Assumptions'!I34</x:f>
        <x:v>0</x:v>
      </x:c>
      <x:c r="J37" s="40" t="n">
        <x:f>J9*'Assumptions'!J34</x:f>
        <x:v>4500</x:v>
      </x:c>
      <x:c r="K37" s="40" t="n">
        <x:f>K9*'Assumptions'!K34</x:f>
        <x:v>1800</x:v>
      </x:c>
      <x:c r="L37" s="40" t="n">
        <x:f>L9*'Assumptions'!L34</x:f>
        <x:v>2700</x:v>
      </x:c>
      <x:c r="M37" s="40" t="n">
        <x:f>M9*'Assumptions'!M34</x:f>
        <x:v>3600</x:v>
      </x:c>
      <x:c r="N37" s="40" t="n">
        <x:f>N9*'Assumptions'!N34</x:f>
        <x:v>3600</x:v>
      </x:c>
      <x:c r="O37" s="40" t="n">
        <x:f>O9*'Assumptions'!O34</x:f>
        <x:v>3600</x:v>
      </x:c>
      <x:c r="P37" s="40" t="n">
        <x:f>P9*'Assumptions'!P34</x:f>
        <x:v>4500</x:v>
      </x:c>
      <x:c r="Q37" s="40" t="n">
        <x:f>Q9*'Assumptions'!Q34</x:f>
        <x:v>4500</x:v>
      </x:c>
      <x:c r="R37" s="3"/>
      <x:c r="S37" s="3"/>
    </x:row>
    <x:row r="38" ht="21" customHeight="1">
      <x:c r="A38" s="2"/>
      <x:c r="B38" s="2"/>
      <x:c r="C38" s="2" t="str">
        <x:v>Founder management</x:v>
      </x:c>
      <x:c r="D38" s="39" t="n">
        <x:f>SUM(F38:Q38)</x:f>
        <x:v>72000</x:v>
      </x:c>
      <x:c r="E38" s="63"/>
      <x:c r="F38" s="40" t="n">
        <x:f>'Assumptions'!$F$50</x:f>
        <x:v>6000</x:v>
      </x:c>
      <x:c r="G38" s="40" t="n">
        <x:f>'Assumptions'!$F$50</x:f>
        <x:v>6000</x:v>
      </x:c>
      <x:c r="H38" s="40" t="n">
        <x:f>'Assumptions'!$F$50</x:f>
        <x:v>6000</x:v>
      </x:c>
      <x:c r="I38" s="40" t="n">
        <x:f>'Assumptions'!$F$50</x:f>
        <x:v>6000</x:v>
      </x:c>
      <x:c r="J38" s="40" t="n">
        <x:f>'Assumptions'!$F$50</x:f>
        <x:v>6000</x:v>
      </x:c>
      <x:c r="K38" s="40" t="n">
        <x:f>'Assumptions'!$F$50</x:f>
        <x:v>6000</x:v>
      </x:c>
      <x:c r="L38" s="40" t="n">
        <x:f>'Assumptions'!$F$50</x:f>
        <x:v>6000</x:v>
      </x:c>
      <x:c r="M38" s="40" t="n">
        <x:f>'Assumptions'!$F$50</x:f>
        <x:v>6000</x:v>
      </x:c>
      <x:c r="N38" s="40" t="n">
        <x:f>'Assumptions'!$F$50</x:f>
        <x:v>6000</x:v>
      </x:c>
      <x:c r="O38" s="40" t="n">
        <x:f>'Assumptions'!$F$50</x:f>
        <x:v>6000</x:v>
      </x:c>
      <x:c r="P38" s="40" t="n">
        <x:f>'Assumptions'!$F$50</x:f>
        <x:v>6000</x:v>
      </x:c>
      <x:c r="Q38" s="40" t="n">
        <x:f>'Assumptions'!$F$50</x:f>
        <x:v>6000</x:v>
      </x:c>
      <x:c r="R38" s="3"/>
      <x:c r="S38" s="3"/>
    </x:row>
    <x:row r="39" ht="21" customHeight="1">
      <x:c r="A39" s="2"/>
      <x:c r="B39" s="2"/>
      <x:c r="C39" s="2" t="str">
        <x:v>Content and mentor sourcing</x:v>
      </x:c>
      <x:c r="D39" s="39" t="n">
        <x:f>SUM(F39:Q39)</x:f>
        <x:v>18000</x:v>
      </x:c>
      <x:c r="E39" s="63"/>
      <x:c r="F39" s="40" t="n">
        <x:f>'Assumptions'!$F$51</x:f>
        <x:v>1500</x:v>
      </x:c>
      <x:c r="G39" s="40" t="n">
        <x:f>'Assumptions'!$F$51</x:f>
        <x:v>1500</x:v>
      </x:c>
      <x:c r="H39" s="40" t="n">
        <x:f>'Assumptions'!$F$51</x:f>
        <x:v>1500</x:v>
      </x:c>
      <x:c r="I39" s="40" t="n">
        <x:f>'Assumptions'!$F$51</x:f>
        <x:v>1500</x:v>
      </x:c>
      <x:c r="J39" s="40" t="n">
        <x:f>'Assumptions'!$F$51</x:f>
        <x:v>1500</x:v>
      </x:c>
      <x:c r="K39" s="40" t="n">
        <x:f>'Assumptions'!$F$51</x:f>
        <x:v>1500</x:v>
      </x:c>
      <x:c r="L39" s="40" t="n">
        <x:f>'Assumptions'!$F$51</x:f>
        <x:v>1500</x:v>
      </x:c>
      <x:c r="M39" s="40" t="n">
        <x:f>'Assumptions'!$F$51</x:f>
        <x:v>1500</x:v>
      </x:c>
      <x:c r="N39" s="40" t="n">
        <x:f>'Assumptions'!$F$51</x:f>
        <x:v>1500</x:v>
      </x:c>
      <x:c r="O39" s="40" t="n">
        <x:f>'Assumptions'!$F$51</x:f>
        <x:v>1500</x:v>
      </x:c>
      <x:c r="P39" s="40" t="n">
        <x:f>'Assumptions'!$F$51</x:f>
        <x:v>1500</x:v>
      </x:c>
      <x:c r="Q39" s="40" t="n">
        <x:f>'Assumptions'!$F$51</x:f>
        <x:v>1500</x:v>
      </x:c>
      <x:c r="R39" s="3"/>
      <x:c r="S39" s="3"/>
    </x:row>
    <x:row r="40" ht="21" customHeight="1">
      <x:c r="A40" s="2"/>
      <x:c r="B40" s="2"/>
      <x:c r="C40" s="2" t="str">
        <x:v>Engineering</x:v>
      </x:c>
      <x:c r="D40" s="39" t="n">
        <x:f>SUM(F40:Q40)</x:f>
        <x:v>25500</x:v>
      </x:c>
      <x:c r="E40" s="63"/>
      <x:c r="F40" s="40" t="n">
        <x:f>'Assumptions'!$F$52</x:f>
        <x:v>4000</x:v>
      </x:c>
      <x:c r="G40" s="40" t="n">
        <x:f>'Assumptions'!$F$52</x:f>
        <x:v>4000</x:v>
      </x:c>
      <x:c r="H40" s="40" t="n">
        <x:f>'Assumptions'!$F$52</x:f>
        <x:v>4000</x:v>
      </x:c>
      <x:c r="I40" s="40" t="n">
        <x:f>'Assumptions'!$F$53</x:f>
        <x:v>1500</x:v>
      </x:c>
      <x:c r="J40" s="40" t="n">
        <x:f>'Assumptions'!$F$53</x:f>
        <x:v>1500</x:v>
      </x:c>
      <x:c r="K40" s="40" t="n">
        <x:f>'Assumptions'!$F$53</x:f>
        <x:v>1500</x:v>
      </x:c>
      <x:c r="L40" s="40" t="n">
        <x:f>'Assumptions'!$F$53</x:f>
        <x:v>1500</x:v>
      </x:c>
      <x:c r="M40" s="40" t="n">
        <x:f>'Assumptions'!$F$53</x:f>
        <x:v>1500</x:v>
      </x:c>
      <x:c r="N40" s="40" t="n">
        <x:f>'Assumptions'!$F$53</x:f>
        <x:v>1500</x:v>
      </x:c>
      <x:c r="O40" s="40" t="n">
        <x:f>'Assumptions'!$F$53</x:f>
        <x:v>1500</x:v>
      </x:c>
      <x:c r="P40" s="40" t="n">
        <x:f>'Assumptions'!$F$53</x:f>
        <x:v>1500</x:v>
      </x:c>
      <x:c r="Q40" s="40" t="n">
        <x:f>'Assumptions'!$F$53</x:f>
        <x:v>1500</x:v>
      </x:c>
      <x:c r="R40" s="3"/>
      <x:c r="S40" s="3"/>
    </x:row>
    <x:row r="41" ht="21" customHeight="1">
      <x:c r="A41" s="2"/>
      <x:c r="B41" s="2"/>
      <x:c r="C41" s="2" t="str">
        <x:v>Startup expense</x:v>
      </x:c>
      <x:c r="D41" s="39" t="n">
        <x:f>SUM(F41:Q41)</x:f>
        <x:v>7500</x:v>
      </x:c>
      <x:c r="E41" s="63"/>
      <x:c r="F41" s="40" t="n">
        <x:f>'Assumptions'!$F$54</x:f>
        <x:v>7500</x:v>
      </x:c>
      <x:c r="G41" s="39" t="n">
        <x:f>0</x:f>
        <x:v>0</x:v>
      </x:c>
      <x:c r="H41" s="39" t="n">
        <x:f>0</x:f>
        <x:v>0</x:v>
      </x:c>
      <x:c r="I41" s="39" t="n">
        <x:f>0</x:f>
        <x:v>0</x:v>
      </x:c>
      <x:c r="J41" s="39" t="n">
        <x:f>0</x:f>
        <x:v>0</x:v>
      </x:c>
      <x:c r="K41" s="39" t="n">
        <x:f>0</x:f>
        <x:v>0</x:v>
      </x:c>
      <x:c r="L41" s="39" t="n">
        <x:f>0</x:f>
        <x:v>0</x:v>
      </x:c>
      <x:c r="M41" s="39" t="n">
        <x:f>0</x:f>
        <x:v>0</x:v>
      </x:c>
      <x:c r="N41" s="39" t="n">
        <x:f>0</x:f>
        <x:v>0</x:v>
      </x:c>
      <x:c r="O41" s="39" t="n">
        <x:f>0</x:f>
        <x:v>0</x:v>
      </x:c>
      <x:c r="P41" s="39" t="n">
        <x:f>0</x:f>
        <x:v>0</x:v>
      </x:c>
      <x:c r="Q41" s="39" t="n">
        <x:f>0</x:f>
        <x:v>0</x:v>
      </x:c>
      <x:c r="R41" s="3"/>
      <x:c r="S41" s="3"/>
    </x:row>
    <x:row r="42" ht="21" customHeight="1">
      <x:c r="A42" s="2"/>
      <x:c r="B42" s="2"/>
      <x:c r="C42" s="24" t="str">
        <x:v>Operating expenses</x:v>
      </x:c>
      <x:c r="D42" s="32" t="n">
        <x:f>SUM(F42:Q42)</x:f>
        <x:v>156300</x:v>
      </x:c>
      <x:c r="E42" s="71"/>
      <x:c r="F42" s="32" t="n">
        <x:f>SUM(F37:F41)</x:f>
        <x:v>19000</x:v>
      </x:c>
      <x:c r="G42" s="32" t="n">
        <x:f>SUM(G37:G41)</x:f>
        <x:v>11500</x:v>
      </x:c>
      <x:c r="H42" s="32" t="n">
        <x:f>SUM(H37:H41)</x:f>
        <x:v>16000</x:v>
      </x:c>
      <x:c r="I42" s="32" t="n">
        <x:f>SUM(I37:I41)</x:f>
        <x:v>9000</x:v>
      </x:c>
      <x:c r="J42" s="32" t="n">
        <x:f>SUM(J37:J41)</x:f>
        <x:v>13500</x:v>
      </x:c>
      <x:c r="K42" s="32" t="n">
        <x:f>SUM(K37:K41)</x:f>
        <x:v>10800</x:v>
      </x:c>
      <x:c r="L42" s="32" t="n">
        <x:f>SUM(L37:L41)</x:f>
        <x:v>11700</x:v>
      </x:c>
      <x:c r="M42" s="32" t="n">
        <x:f>SUM(M37:M41)</x:f>
        <x:v>12600</x:v>
      </x:c>
      <x:c r="N42" s="32" t="n">
        <x:f>SUM(N37:N41)</x:f>
        <x:v>12600</x:v>
      </x:c>
      <x:c r="O42" s="32" t="n">
        <x:f>SUM(O37:O41)</x:f>
        <x:v>12600</x:v>
      </x:c>
      <x:c r="P42" s="32" t="n">
        <x:f>SUM(P37:P41)</x:f>
        <x:v>13500</x:v>
      </x:c>
      <x:c r="Q42" s="32" t="n">
        <x:f>SUM(Q37:Q41)</x:f>
        <x:v>13500</x:v>
      </x:c>
      <x:c r="R42" s="3"/>
      <x:c r="S42" s="3"/>
    </x:row>
    <x:row r="43" ht="21" customHeight="1">
      <x:c r="A43" s="2"/>
      <x:c r="B43" s="2"/>
      <x:c r="C43" s="2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3"/>
      <x:c r="S43" s="3"/>
    </x:row>
    <x:row r="44" ht="21" customHeight="1">
      <x:c r="A44" s="2"/>
      <x:c r="B44" s="2"/>
      <x:c r="C44" s="24" t="str">
        <x:v>Operating profit / (loss)</x:v>
      </x:c>
      <x:c r="D44" s="32" t="n">
        <x:f>SUM(F44:Q44)</x:f>
        <x:v>-59797.604893209544</x:v>
      </x:c>
      <x:c r="E44" s="71"/>
      <x:c r="F44" s="32" t="n">
        <x:f>F34-F42</x:f>
        <x:v>-19000</x:v>
      </x:c>
      <x:c r="G44" s="32" t="n">
        <x:f>G34-G42</x:f>
        <x:v>-11500</x:v>
      </x:c>
      <x:c r="H44" s="32" t="n">
        <x:f>H34-H42</x:f>
        <x:v>-12361.5</x:v>
      </x:c>
      <x:c r="I44" s="32" t="n">
        <x:f>I34-I42</x:f>
        <x:v>-4150</x:v>
      </x:c>
      <x:c r="J44" s="32" t="n">
        <x:f>J34-J42</x:f>
        <x:v>-8446.8035</x:v>
      </x:c>
      <x:c r="K44" s="32" t="n">
        <x:f>K34-K42</x:f>
        <x:v>-2517.6608799999995</x:v>
      </x:c>
      <x:c r="L44" s="32" t="n">
        <x:f>L34-L42</x:f>
        <x:v>-4403.0337712</x:v>
      </x:c>
      <x:c r="M44" s="32" t="n">
        <x:f>M34-M42</x:f>
        <x:v>-2494.8042484880025</x:v>
      </x:c>
      <x:c r="N44" s="32" t="n">
        <x:f>N34-N42</x:f>
        <x:v>-966.2744720031205</x:v>
      </x:c>
      <x:c r="O44" s="32" t="n">
        <x:f>O34-O42</x:f>
        <x:v>340.8872237169071</x:v>
      </x:c>
      <x:c r="P44" s="32" t="n">
        <x:f>P34-P42</x:f>
        <x:v>1637.9552194797398</x:v>
      </x:c>
      <x:c r="Q44" s="32" t="n">
        <x:f>Q34-Q42</x:f>
        <x:v>4063.629535284941</x:v>
      </x:c>
      <x:c r="R44" s="3"/>
      <x:c r="S44" s="3"/>
    </x:row>
    <x:row r="45" ht="21" customHeight="1">
      <x:c r="A45" s="2"/>
      <x:c r="B45" s="2"/>
      <x:c r="C45" s="2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3"/>
      <x:c r="S45" s="3"/>
    </x:row>
    <x:row r="46" ht="21" customHeight="1">
      <x:c r="A46" s="2"/>
      <x:c r="B46" s="2"/>
      <x:c r="C46" s="2" t="str">
        <x:v>Net cash flow</x:v>
      </x:c>
      <x:c r="D46" s="39" t="n">
        <x:f>SUM(F46:Q46)</x:f>
        <x:v>-13097.594049674917</x:v>
      </x:c>
      <x:c r="E46" s="63"/>
      <x:c r="F46" s="39" t="n">
        <x:f>F20-F32-F42</x:f>
        <x:v>-19000</x:v>
      </x:c>
      <x:c r="G46" s="39" t="n">
        <x:f>G20-G32-G42</x:f>
        <x:v>-11500</x:v>
      </x:c>
      <x:c r="H46" s="39" t="n">
        <x:f>H20-H32-H42</x:f>
        <x:v>-5086.5</x:v>
      </x:c>
      <x:c r="I46" s="39" t="n">
        <x:f>I20-I32-I42</x:f>
        <x:v>-11425</x:v>
      </x:c>
      <x:c r="J46" s="39" t="n">
        <x:f>J20-J32-J42</x:f>
        <x:v>10613.696499999998</x:v>
      </x:c>
      <x:c r="K46" s="39" t="n">
        <x:f>K20-K32-K42</x:f>
        <x:v>-8296.920880000001</x:v>
      </x:c>
      <x:c r="L46" s="39" t="n">
        <x:f>L20-L32-L42</x:f>
        <x:v>7450.312878799996</x:v>
      </x:c>
      <x:c r="M46" s="39" t="n">
        <x:f>M20-M32-M42</x:f>
        <x:v>899.6883445120002</x:v>
      </x:c>
      <x:c r="N46" s="39" t="n">
        <x:f>N20-N32-N42</x:f>
        <x:v>2818.031310471879</x:v>
      </x:c>
      <x:c r="O46" s="39" t="n">
        <x:f>O20-O32-O42</x:f>
        <x:v>5697.205982618114</x:v>
      </x:c>
      <x:c r="P46" s="39" t="n">
        <x:f>P20-P32-P42</x:f>
        <x:v>7396.658264700371</x:v>
      </x:c>
      <x:c r="Q46" s="39" t="n">
        <x:f>Q20-Q32-Q42</x:f>
        <x:v>7335.233549222725</x:v>
      </x:c>
      <x:c r="R46" s="3"/>
      <x:c r="S46" s="3"/>
    </x:row>
    <x:row r="47" ht="21" customHeight="1">
      <x:c r="A47" s="2"/>
      <x:c r="B47" s="2"/>
      <x:c r="C47" s="2" t="str">
        <x:v>Opening cash</x:v>
      </x:c>
      <x:c r="D47" s="63"/>
      <x:c r="E47" s="63"/>
      <x:c r="F47" s="40" t="n">
        <x:f>'Assumptions'!$F$55</x:f>
        <x:v>100000</x:v>
      </x:c>
      <x:c r="G47" s="39" t="n">
        <x:f>F48</x:f>
        <x:v>81000</x:v>
      </x:c>
      <x:c r="H47" s="39" t="n">
        <x:f>G48</x:f>
        <x:v>69500</x:v>
      </x:c>
      <x:c r="I47" s="39" t="n">
        <x:f>H48</x:f>
        <x:v>64413.5</x:v>
      </x:c>
      <x:c r="J47" s="39" t="n">
        <x:f>I48</x:f>
        <x:v>52988.5</x:v>
      </x:c>
      <x:c r="K47" s="39" t="n">
        <x:f>J48</x:f>
        <x:v>63602.1965</x:v>
      </x:c>
      <x:c r="L47" s="39" t="n">
        <x:f>K48</x:f>
        <x:v>55305.27562</x:v>
      </x:c>
      <x:c r="M47" s="39" t="n">
        <x:f>L48</x:f>
        <x:v>62755.588498799996</x:v>
      </x:c>
      <x:c r="N47" s="39" t="n">
        <x:f>M48</x:f>
        <x:v>63655.27684331199</x:v>
      </x:c>
      <x:c r="O47" s="39" t="n">
        <x:f>N48</x:f>
        <x:v>66473.30815378387</x:v>
      </x:c>
      <x:c r="P47" s="39" t="n">
        <x:f>O48</x:f>
        <x:v>72170.514136402</x:v>
      </x:c>
      <x:c r="Q47" s="39" t="n">
        <x:f>P48</x:f>
        <x:v>79567.17240110236</x:v>
      </x:c>
      <x:c r="R47" s="3"/>
      <x:c r="S47" s="3"/>
    </x:row>
    <x:row r="48" ht="21" customHeight="1">
      <x:c r="A48" s="2"/>
      <x:c r="B48" s="2"/>
      <x:c r="C48" s="24" t="str">
        <x:v>Closing cash</x:v>
      </x:c>
      <x:c r="D48" s="32" t="n">
        <x:f>Q48</x:f>
        <x:v>86902.40595032509</x:v>
      </x:c>
      <x:c r="E48" s="71"/>
      <x:c r="F48" s="32" t="n">
        <x:f>SUM(F47,F46)</x:f>
        <x:v>81000</x:v>
      </x:c>
      <x:c r="G48" s="32" t="n">
        <x:f>SUM(G47,G46)</x:f>
        <x:v>69500</x:v>
      </x:c>
      <x:c r="H48" s="32" t="n">
        <x:f>SUM(H47,H46)</x:f>
        <x:v>64413.5</x:v>
      </x:c>
      <x:c r="I48" s="32" t="n">
        <x:f>SUM(I47,I46)</x:f>
        <x:v>52988.5</x:v>
      </x:c>
      <x:c r="J48" s="32" t="n">
        <x:f>SUM(J47,J46)</x:f>
        <x:v>63602.1965</x:v>
      </x:c>
      <x:c r="K48" s="32" t="n">
        <x:f>SUM(K47,K46)</x:f>
        <x:v>55305.27562</x:v>
      </x:c>
      <x:c r="L48" s="32" t="n">
        <x:f>SUM(L47,L46)</x:f>
        <x:v>62755.588498799996</x:v>
      </x:c>
      <x:c r="M48" s="32" t="n">
        <x:f>SUM(M47,M46)</x:f>
        <x:v>63655.27684331199</x:v>
      </x:c>
      <x:c r="N48" s="32" t="n">
        <x:f>SUM(N47,N46)</x:f>
        <x:v>66473.30815378387</x:v>
      </x:c>
      <x:c r="O48" s="32" t="n">
        <x:f>SUM(O47,O46)</x:f>
        <x:v>72170.514136402</x:v>
      </x:c>
      <x:c r="P48" s="32" t="n">
        <x:f>SUM(P47,P46)</x:f>
        <x:v>79567.17240110236</x:v>
      </x:c>
      <x:c r="Q48" s="32" t="n">
        <x:f>SUM(Q47,Q46)</x:f>
        <x:v>86902.40595032509</x:v>
      </x:c>
      <x:c r="R48" s="3"/>
      <x:c r="S48" s="3"/>
    </x:row>
    <x:row r="49" ht="21" customHeight="1">
      <x:c r="A49" s="2"/>
      <x:c r="B49" s="2"/>
      <x:c r="C49" s="2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3"/>
      <x:c r="S49" s="3"/>
    </x:row>
    <x:row r="50" ht="21" customHeight="1">
      <x:c r="A50" s="2"/>
      <x:c r="B50" s="2"/>
      <x:c r="C50" s="2" t="str">
        <x:v>Opening deferred revenue</x:v>
      </x:c>
      <x:c r="D50" s="63"/>
      <x:c r="E50" s="63"/>
      <x:c r="F50" s="39" t="n">
        <x:f>0</x:f>
        <x:v>0</x:v>
      </x:c>
      <x:c r="G50" s="39" t="n">
        <x:f>F51</x:f>
        <x:v>0</x:v>
      </x:c>
      <x:c r="H50" s="39" t="n">
        <x:f>G51</x:f>
        <x:v>0</x:v>
      </x:c>
      <x:c r="I50" s="39" t="n">
        <x:f>H51</x:f>
        <x:v>7275</x:v>
      </x:c>
      <x:c r="J50" s="39" t="n">
        <x:f>I51</x:f>
        <x:v>0</x:v>
      </x:c>
      <x:c r="K50" s="39" t="n">
        <x:f>J51</x:f>
        <x:v>19060.5</x:v>
      </x:c>
      <x:c r="L50" s="39" t="n">
        <x:f>K51</x:f>
        <x:v>13281.24</x:v>
      </x:c>
      <x:c r="M50" s="39" t="n">
        <x:f>L51</x:f>
        <x:v>25134.586649999997</x:v>
      </x:c>
      <x:c r="N50" s="39" t="n">
        <x:f>M51</x:f>
        <x:v>28529.079243</x:v>
      </x:c>
      <x:c r="O50" s="39" t="n">
        <x:f>N51</x:f>
        <x:v>32313.385025475</x:v>
      </x:c>
      <x:c r="P50" s="39" t="n">
        <x:f>O51</x:f>
        <x:v>37669.7037843762</x:v>
      </x:c>
      <x:c r="Q50" s="39" t="n">
        <x:f>P51</x:f>
        <x:v>43428.40682959684</x:v>
      </x:c>
      <x:c r="R50" s="3"/>
      <x:c r="S50" s="3"/>
    </x:row>
    <x:row r="51" ht="21" customHeight="1">
      <x:c r="A51" s="2"/>
      <x:c r="B51" s="2"/>
      <x:c r="C51" s="24" t="str">
        <x:v>Closing deferred revenue</x:v>
      </x:c>
      <x:c r="D51" s="32" t="n">
        <x:f>Q51</x:f>
        <x:v>46700.01084353463</x:v>
      </x:c>
      <x:c r="E51" s="71"/>
      <x:c r="F51" s="32" t="n">
        <x:f>F50+F20-F24</x:f>
        <x:v>0</x:v>
      </x:c>
      <x:c r="G51" s="32" t="n">
        <x:f>G50+G20-G24</x:f>
        <x:v>0</x:v>
      </x:c>
      <x:c r="H51" s="32" t="n">
        <x:f>H50+H20-H24</x:f>
        <x:v>7275</x:v>
      </x:c>
      <x:c r="I51" s="32" t="n">
        <x:f>I50+I20-I24</x:f>
        <x:v>0</x:v>
      </x:c>
      <x:c r="J51" s="32" t="n">
        <x:f>J50+J20-J24</x:f>
        <x:v>19060.5</x:v>
      </x:c>
      <x:c r="K51" s="32" t="n">
        <x:f>K50+K20-K24</x:f>
        <x:v>13281.24</x:v>
      </x:c>
      <x:c r="L51" s="32" t="n">
        <x:f>L50+L20-L24</x:f>
        <x:v>25134.586649999997</x:v>
      </x:c>
      <x:c r="M51" s="32" t="n">
        <x:f>M50+M20-M24</x:f>
        <x:v>28529.079243</x:v>
      </x:c>
      <x:c r="N51" s="32" t="n">
        <x:f>N50+N20-N24</x:f>
        <x:v>32313.385025475</x:v>
      </x:c>
      <x:c r="O51" s="32" t="n">
        <x:f>O50+O20-O24</x:f>
        <x:v>37669.7037843762</x:v>
      </x:c>
      <x:c r="P51" s="32" t="n">
        <x:f>P50+P20-P24</x:f>
        <x:v>43428.40682959684</x:v>
      </x:c>
      <x:c r="Q51" s="32" t="n">
        <x:f>Q50+Q20-Q24</x:f>
        <x:v>46700.01084353463</x:v>
      </x:c>
      <x:c r="R51" s="3"/>
      <x:c r="S51" s="3"/>
    </x:row>
    <x:row r="52" ht="21" customHeight="1">
      <x:c r="A52" s="2"/>
      <x:c r="B52" s="2"/>
      <x:c r="C52" s="24" t="str">
        <x:v>Cash less deferred revenue</x:v>
      </x:c>
      <x:c r="D52" s="32" t="n">
        <x:f>Q52</x:f>
        <x:v>40202.39510679046</x:v>
      </x:c>
      <x:c r="E52" s="71"/>
      <x:c r="F52" s="32" t="n">
        <x:f>F48-F51</x:f>
        <x:v>81000</x:v>
      </x:c>
      <x:c r="G52" s="32" t="n">
        <x:f>G48-G51</x:f>
        <x:v>69500</x:v>
      </x:c>
      <x:c r="H52" s="32" t="n">
        <x:f>H48-H51</x:f>
        <x:v>57138.5</x:v>
      </x:c>
      <x:c r="I52" s="32" t="n">
        <x:f>I48-I51</x:f>
        <x:v>52988.5</x:v>
      </x:c>
      <x:c r="J52" s="32" t="n">
        <x:f>J48-J51</x:f>
        <x:v>44541.6965</x:v>
      </x:c>
      <x:c r="K52" s="32" t="n">
        <x:f>K48-K51</x:f>
        <x:v>42024.03562</x:v>
      </x:c>
      <x:c r="L52" s="32" t="n">
        <x:f>L48-L51</x:f>
        <x:v>37621.0018488</x:v>
      </x:c>
      <x:c r="M52" s="32" t="n">
        <x:f>M48-M51</x:f>
        <x:v>35126.19760031199</x:v>
      </x:c>
      <x:c r="N52" s="32" t="n">
        <x:f>N48-N51</x:f>
        <x:v>34159.923128308874</x:v>
      </x:c>
      <x:c r="O52" s="32" t="n">
        <x:f>O48-O51</x:f>
        <x:v>34500.810352025794</x:v>
      </x:c>
      <x:c r="P52" s="32" t="n">
        <x:f>P48-P51</x:f>
        <x:v>36138.76557150552</x:v>
      </x:c>
      <x:c r="Q52" s="32" t="n">
        <x:f>Q48-Q51</x:f>
        <x:v>40202.39510679046</x:v>
      </x:c>
      <x:c r="R52" s="3"/>
      <x:c r="S52" s="3"/>
    </x:row>
    <x:row r="53" ht="21" customHeight="1">
      <x:c r="A53" s="2"/>
      <x:c r="B53" s="2"/>
      <x:c r="C53" s="2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3"/>
      <x:c r="S53" s="3"/>
    </x:row>
    <x:row r="54" ht="21" customHeight="1">
      <x:c r="A54" s="2"/>
      <x:c r="B54" s="2"/>
      <x:c r="C54" s="2" t="str">
        <x:v>Coach hours incl onboarding / clinics</x:v>
      </x:c>
      <x:c r="D54" s="38" t="n">
        <x:f>Q54</x:f>
        <x:v>38.20635981725834</x:v>
      </x:c>
      <x:c r="E54" s="61"/>
      <x:c r="F54" s="37" t="n">
        <x:f>F11*'Unit economics'!$D$35+F12*'Unit economics'!$D$36+F9*'Unit economics'!$D$37+F29*'Assumptions'!$F$47</x:f>
        <x:v>0</x:v>
      </x:c>
      <x:c r="G54" s="37" t="n">
        <x:f>G11*'Unit economics'!$D$35+G12*'Unit economics'!$D$36+G9*'Unit economics'!$D$37+G29*'Assumptions'!$F$47</x:f>
        <x:v>0</x:v>
      </x:c>
      <x:c r="H54" s="37" t="n">
        <x:f>H11*'Unit economics'!$D$35+H12*'Unit economics'!$D$36+H9*'Unit economics'!$D$37+H29*'Assumptions'!$F$47</x:f>
        <x:v>14</x:v>
      </x:c>
      <x:c r="I54" s="37" t="n">
        <x:f>I11*'Unit economics'!$D$35+I12*'Unit economics'!$D$36+I9*'Unit economics'!$D$37+I29*'Assumptions'!$F$47</x:f>
        <x:v>9</x:v>
      </x:c>
      <x:c r="J54" s="37" t="n">
        <x:f>J11*'Unit economics'!$D$35+J12*'Unit economics'!$D$36+J9*'Unit economics'!$D$37+J29*'Assumptions'!$F$47</x:f>
        <x:v>16.91</x:v>
      </x:c>
      <x:c r="K54" s="37" t="n">
        <x:f>K11*'Unit economics'!$D$35+K12*'Unit economics'!$D$36+K9*'Unit economics'!$D$37+K29*'Assumptions'!$F$47</x:f>
        <x:v>15.8809</x:v>
      </x:c>
      <x:c r="L54" s="37" t="n">
        <x:f>L11*'Unit economics'!$D$35+L12*'Unit economics'!$D$36+L9*'Unit economics'!$D$37+L29*'Assumptions'!$F$47</x:f>
        <x:v>17.762090999999998</x:v>
      </x:c>
      <x:c r="M54" s="37" t="n">
        <x:f>M11*'Unit economics'!$D$35+M12*'Unit economics'!$D$36+M9*'Unit economics'!$D$37+M29*'Assumptions'!$F$47</x:f>
        <x:v>21.86847009</x:v>
      </x:c>
      <x:c r="N54" s="37" t="n">
        <x:f>N11*'Unit economics'!$D$35+N12*'Unit economics'!$D$36+N9*'Unit economics'!$D$37+N29*'Assumptions'!$F$47</x:f>
        <x:v>28.545785389099997</x:v>
      </x:c>
      <x:c r="O54" s="37" t="n">
        <x:f>O11*'Unit economics'!$D$35+O12*'Unit economics'!$D$36+O9*'Unit economics'!$D$37+O29*'Assumptions'!$F$47</x:f>
        <x:v>30.788327535209</x:v>
      </x:c>
      <x:c r="P54" s="37" t="n">
        <x:f>P11*'Unit economics'!$D$35+P12*'Unit economics'!$D$36+P9*'Unit economics'!$D$37+P29*'Assumptions'!$F$47</x:f>
        <x:v>35.00844425985691</x:v>
      </x:c>
      <x:c r="Q54" s="37" t="n">
        <x:f>Q11*'Unit economics'!$D$35+Q12*'Unit economics'!$D$36+Q9*'Unit economics'!$D$37+Q29*'Assumptions'!$F$47</x:f>
        <x:v>38.20635981725834</x:v>
      </x:c>
      <x:c r="R54" s="3"/>
      <x:c r="S54" s="3"/>
    </x:row>
    <x:row r="55" ht="21" customHeight="1">
      <x:c r="A55" s="2"/>
      <x:c r="B55" s="2"/>
      <x:c r="C55" s="2" t="str">
        <x:v>Qualified domain review hours</x:v>
      </x:c>
      <x:c r="D55" s="38" t="n">
        <x:f>Q55</x:f>
        <x:v>17.60317990862917</x:v>
      </x:c>
      <x:c r="E55" s="61"/>
      <x:c r="F55" s="37" t="n">
        <x:f>F11*'Unit economics'!$E$35+F12*'Unit economics'!$E$36</x:f>
        <x:v>0</x:v>
      </x:c>
      <x:c r="G55" s="37" t="n">
        <x:f>G11*'Unit economics'!$E$35+G12*'Unit economics'!$E$36</x:f>
        <x:v>0</x:v>
      </x:c>
      <x:c r="H55" s="37" t="n">
        <x:f>H11*'Unit economics'!$E$35+H12*'Unit economics'!$E$36</x:f>
        <x:v>5</x:v>
      </x:c>
      <x:c r="I55" s="37" t="n">
        <x:f>I11*'Unit economics'!$E$35+I12*'Unit economics'!$E$36</x:f>
        <x:v>5</x:v>
      </x:c>
      <x:c r="J55" s="37" t="n">
        <x:f>J11*'Unit economics'!$E$35+J12*'Unit economics'!$E$36</x:f>
        <x:v>6.455</x:v>
      </x:c>
      <x:c r="K55" s="37" t="n">
        <x:f>K11*'Unit economics'!$E$35+K12*'Unit economics'!$E$36</x:f>
        <x:v>8.44045</x:v>
      </x:c>
      <x:c r="L55" s="37" t="n">
        <x:f>L11*'Unit economics'!$E$35+L12*'Unit economics'!$E$36</x:f>
        <x:v>7.8810455</x:v>
      </x:c>
      <x:c r="M55" s="37" t="n">
        <x:f>M11*'Unit economics'!$E$35+M12*'Unit economics'!$E$36</x:f>
        <x:v>10.434235045</x:v>
      </x:c>
      <x:c r="N55" s="37" t="n">
        <x:f>N11*'Unit economics'!$E$35+N12*'Unit economics'!$E$36</x:f>
        <x:v>12.272892694549999</x:v>
      </x:c>
      <x:c r="O55" s="37" t="n">
        <x:f>O11*'Unit economics'!$E$35+O12*'Unit economics'!$E$36</x:f>
        <x:v>13.3941637676045</x:v>
      </x:c>
      <x:c r="P55" s="37" t="n">
        <x:f>P11*'Unit economics'!$E$35+P12*'Unit economics'!$E$36</x:f>
        <x:v>15.504222129928454</x:v>
      </x:c>
      <x:c r="Q55" s="37" t="n">
        <x:f>Q11*'Unit economics'!$E$35+Q12*'Unit economics'!$E$36</x:f>
        <x:v>17.60317990862917</x:v>
      </x:c>
      <x:c r="R55" s="3"/>
      <x:c r="S55" s="3"/>
    </x:row>
    <x:row r="56" ht="21" customHeight="1">
      <x:c r="A56" s="2"/>
      <x:c r="B56" s="2"/>
      <x:c r="C56" s="2" t="str">
        <x:v>Support hours</x:v>
      </x:c>
      <x:c r="D56" s="38" t="n">
        <x:f>Q56</x:f>
        <x:v>20.10317990862917</x:v>
      </x:c>
      <x:c r="E56" s="61"/>
      <x:c r="F56" s="37" t="n">
        <x:f>F11*'Unit economics'!$F$35+F12*'Unit economics'!$F$36+F9*'Unit economics'!$F$37</x:f>
        <x:v>0</x:v>
      </x:c>
      <x:c r="G56" s="37" t="n">
        <x:f>G11*'Unit economics'!$F$35+G12*'Unit economics'!$F$36+G9*'Unit economics'!$F$37</x:f>
        <x:v>0</x:v>
      </x:c>
      <x:c r="H56" s="37" t="n">
        <x:f>H11*'Unit economics'!$F$35+H12*'Unit economics'!$F$36+H9*'Unit economics'!$F$37</x:f>
        <x:v>7.5</x:v>
      </x:c>
      <x:c r="I56" s="37" t="n">
        <x:f>I11*'Unit economics'!$F$35+I12*'Unit economics'!$F$36+I9*'Unit economics'!$F$37</x:f>
        <x:v>5</x:v>
      </x:c>
      <x:c r="J56" s="37" t="n">
        <x:f>J11*'Unit economics'!$F$35+J12*'Unit economics'!$F$36+J9*'Unit economics'!$F$37</x:f>
        <x:v>8.955</x:v>
      </x:c>
      <x:c r="K56" s="37" t="n">
        <x:f>K11*'Unit economics'!$F$35+K12*'Unit economics'!$F$36+K9*'Unit economics'!$F$37</x:f>
        <x:v>9.44045</x:v>
      </x:c>
      <x:c r="L56" s="37" t="n">
        <x:f>L11*'Unit economics'!$F$35+L12*'Unit economics'!$F$36+L9*'Unit economics'!$F$37</x:f>
        <x:v>9.381045499999999</x:v>
      </x:c>
      <x:c r="M56" s="37" t="n">
        <x:f>M11*'Unit economics'!$F$35+M12*'Unit economics'!$F$36+M9*'Unit economics'!$F$37</x:f>
        <x:v>12.434235045</x:v>
      </x:c>
      <x:c r="N56" s="37" t="n">
        <x:f>N11*'Unit economics'!$F$35+N12*'Unit economics'!$F$36+N9*'Unit economics'!$F$37</x:f>
        <x:v>14.272892694549999</x:v>
      </x:c>
      <x:c r="O56" s="37" t="n">
        <x:f>O11*'Unit economics'!$F$35+O12*'Unit economics'!$F$36+O9*'Unit economics'!$F$37</x:f>
        <x:v>15.3941637676045</x:v>
      </x:c>
      <x:c r="P56" s="37" t="n">
        <x:f>P11*'Unit economics'!$F$35+P12*'Unit economics'!$F$36+P9*'Unit economics'!$F$37</x:f>
        <x:v>18.004222129928454</x:v>
      </x:c>
      <x:c r="Q56" s="37" t="n">
        <x:f>Q11*'Unit economics'!$F$35+Q12*'Unit economics'!$F$36+Q9*'Unit economics'!$F$37</x:f>
        <x:v>20.10317990862917</x:v>
      </x:c>
      <x:c r="R56" s="3"/>
      <x:c r="S56" s="3"/>
    </x:row>
    <x:row r="57" ht="21" customHeight="1">
      <x:c r="A57" s="2"/>
      <x:c r="B57" s="2"/>
      <x:c r="C57" s="2" t="str">
        <x:v>Total coach + domain hours</x:v>
      </x:c>
      <x:c r="D57" s="38" t="n">
        <x:f>Q57</x:f>
        <x:v>55.809539725887504</x:v>
      </x:c>
      <x:c r="E57" s="61"/>
      <x:c r="F57" s="38" t="n">
        <x:f>SUM(F54:F55)</x:f>
        <x:v>0</x:v>
      </x:c>
      <x:c r="G57" s="38" t="n">
        <x:f>SUM(G54:G55)</x:f>
        <x:v>0</x:v>
      </x:c>
      <x:c r="H57" s="38" t="n">
        <x:f>SUM(H54:H55)</x:f>
        <x:v>19</x:v>
      </x:c>
      <x:c r="I57" s="38" t="n">
        <x:f>SUM(I54:I55)</x:f>
        <x:v>14</x:v>
      </x:c>
      <x:c r="J57" s="38" t="n">
        <x:f>SUM(J54:J55)</x:f>
        <x:v>23.365000000000002</x:v>
      </x:c>
      <x:c r="K57" s="38" t="n">
        <x:f>SUM(K54:K55)</x:f>
        <x:v>24.321350000000002</x:v>
      </x:c>
      <x:c r="L57" s="38" t="n">
        <x:f>SUM(L54:L55)</x:f>
        <x:v>25.643136499999997</x:v>
      </x:c>
      <x:c r="M57" s="38" t="n">
        <x:f>SUM(M54:M55)</x:f>
        <x:v>32.302705135</x:v>
      </x:c>
      <x:c r="N57" s="38" t="n">
        <x:f>SUM(N54:N55)</x:f>
        <x:v>40.81867808365</x:v>
      </x:c>
      <x:c r="O57" s="38" t="n">
        <x:f>SUM(O54:O55)</x:f>
        <x:v>44.1824913028135</x:v>
      </x:c>
      <x:c r="P57" s="38" t="n">
        <x:f>SUM(P54:P55)</x:f>
        <x:v>50.512666389785366</x:v>
      </x:c>
      <x:c r="Q57" s="38" t="n">
        <x:f>SUM(Q54:Q55)</x:f>
        <x:v>55.809539725887504</x:v>
      </x:c>
      <x:c r="R57" s="3"/>
      <x:c r="S57" s="3"/>
    </x:row>
    <x:row r="58" ht="21" customHeight="1">
      <x:c r="A58" s="2"/>
      <x:c r="B58" s="2"/>
      <x:c r="C58" s="2" t="str">
        <x:v>Expert capacity units at target booking</x:v>
      </x:c>
      <x:c r="D58" s="38" t="n">
        <x:f>Q58</x:f>
        <x:v>0.8720240582169922</x:v>
      </x:c>
      <x:c r="E58" s="61"/>
      <x:c r="F58" s="37" t="n">
        <x:f>F57/('Assumptions'!$F$57*'Assumptions'!$F$58)</x:f>
        <x:v>0</x:v>
      </x:c>
      <x:c r="G58" s="37" t="n">
        <x:f>G57/('Assumptions'!$F$57*'Assumptions'!$F$58)</x:f>
        <x:v>0</x:v>
      </x:c>
      <x:c r="H58" s="37" t="n">
        <x:f>H57/('Assumptions'!$F$57*'Assumptions'!$F$58)</x:f>
        <x:v>0.296875</x:v>
      </x:c>
      <x:c r="I58" s="37" t="n">
        <x:f>I57/('Assumptions'!$F$57*'Assumptions'!$F$58)</x:f>
        <x:v>0.21875</x:v>
      </x:c>
      <x:c r="J58" s="37" t="n">
        <x:f>J57/('Assumptions'!$F$57*'Assumptions'!$F$58)</x:f>
        <x:v>0.36507812500000003</x:v>
      </x:c>
      <x:c r="K58" s="37" t="n">
        <x:f>K57/('Assumptions'!$F$57*'Assumptions'!$F$58)</x:f>
        <x:v>0.38002109375000004</x:v>
      </x:c>
      <x:c r="L58" s="37" t="n">
        <x:f>L57/('Assumptions'!$F$57*'Assumptions'!$F$58)</x:f>
        <x:v>0.40067400781249995</x:v>
      </x:c>
      <x:c r="M58" s="37" t="n">
        <x:f>M57/('Assumptions'!$F$57*'Assumptions'!$F$58)</x:f>
        <x:v>0.504729767734375</x:v>
      </x:c>
      <x:c r="N58" s="37" t="n">
        <x:f>N57/('Assumptions'!$F$57*'Assumptions'!$F$58)</x:f>
        <x:v>0.6377918450570312</x:v>
      </x:c>
      <x:c r="O58" s="37" t="n">
        <x:f>O57/('Assumptions'!$F$57*'Assumptions'!$F$58)</x:f>
        <x:v>0.690351426606461</x:v>
      </x:c>
      <x:c r="P58" s="37" t="n">
        <x:f>P57/('Assumptions'!$F$57*'Assumptions'!$F$58)</x:f>
        <x:v>0.7892604123403963</x:v>
      </x:c>
      <x:c r="Q58" s="37" t="n">
        <x:f>Q57/('Assumptions'!$F$57*'Assumptions'!$F$58)</x:f>
        <x:v>0.8720240582169922</x:v>
      </x:c>
      <x:c r="R58" s="3"/>
      <x:c r="S58" s="3"/>
    </x:row>
    <x:row r="59" ht="21" customHeight="1">
      <x:c r="A59" s="2"/>
      <x:c r="B59" s="2"/>
      <x:c r="C59" s="2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3"/>
      <x:c r="S59" s="3"/>
    </x:row>
    <x:row r="60" ht="21" customHeight="1">
      <x:c r="A60" s="2"/>
      <x:c r="B60" s="2"/>
      <x:c r="C60" s="2" t="str">
        <x:v>Cumulative net cash flow</x:v>
      </x:c>
      <x:c r="D60" s="39" t="n">
        <x:f>Q60</x:f>
        <x:v>-13097.594049674917</x:v>
      </x:c>
      <x:c r="E60" s="63"/>
      <x:c r="F60" s="39" t="n">
        <x:f>F46</x:f>
        <x:v>-19000</x:v>
      </x:c>
      <x:c r="G60" s="39" t="n">
        <x:f>F60+G46</x:f>
        <x:v>-30500</x:v>
      </x:c>
      <x:c r="H60" s="39" t="n">
        <x:f>G60+H46</x:f>
        <x:v>-35586.5</x:v>
      </x:c>
      <x:c r="I60" s="39" t="n">
        <x:f>H60+I46</x:f>
        <x:v>-47011.5</x:v>
      </x:c>
      <x:c r="J60" s="39" t="n">
        <x:f>I60+J46</x:f>
        <x:v>-36397.8035</x:v>
      </x:c>
      <x:c r="K60" s="39" t="n">
        <x:f>J60+K46</x:f>
        <x:v>-44694.72438</x:v>
      </x:c>
      <x:c r="L60" s="39" t="n">
        <x:f>K60+L46</x:f>
        <x:v>-37244.411501200004</x:v>
      </x:c>
      <x:c r="M60" s="39" t="n">
        <x:f>L60+M46</x:f>
        <x:v>-36344.72315668801</x:v>
      </x:c>
      <x:c r="N60" s="39" t="n">
        <x:f>M60+N46</x:f>
        <x:v>-33526.69184621613</x:v>
      </x:c>
      <x:c r="O60" s="39" t="n">
        <x:f>N60+O46</x:f>
        <x:v>-27829.485863598013</x:v>
      </x:c>
      <x:c r="P60" s="39" t="n">
        <x:f>O60+P46</x:f>
        <x:v>-20432.827598897642</x:v>
      </x:c>
      <x:c r="Q60" s="39" t="n">
        <x:f>P60+Q46</x:f>
        <x:v>-13097.594049674917</x:v>
      </x:c>
      <x:c r="R60" s="3"/>
      <x:c r="S60" s="3"/>
    </x:row>
    <x:row r="61" ht="21" customHeight="1">
      <x:c r="A61" s="2"/>
      <x:c r="B61" s="2"/>
      <x:c r="C61" s="2" t="str">
        <x:v>Cash funding need + operating buffer</x:v>
      </x:c>
      <x:c r="D61" s="39" t="n">
        <x:f>MAX(F61:Q61)</x:f>
        <x:v>62011.5</x:v>
      </x:c>
      <x:c r="E61" s="63"/>
      <x:c r="F61" s="40" t="n">
        <x:f>MAX(0,-F60)+'Assumptions'!$F$56</x:f>
        <x:v>34000</x:v>
      </x:c>
      <x:c r="G61" s="40" t="n">
        <x:f>MAX(0,-G60)+'Assumptions'!$F$56</x:f>
        <x:v>45500</x:v>
      </x:c>
      <x:c r="H61" s="40" t="n">
        <x:f>MAX(0,-H60)+'Assumptions'!$F$56</x:f>
        <x:v>50586.5</x:v>
      </x:c>
      <x:c r="I61" s="40" t="n">
        <x:f>MAX(0,-I60)+'Assumptions'!$F$56</x:f>
        <x:v>62011.5</x:v>
      </x:c>
      <x:c r="J61" s="40" t="n">
        <x:f>MAX(0,-J60)+'Assumptions'!$F$56</x:f>
        <x:v>51397.8035</x:v>
      </x:c>
      <x:c r="K61" s="40" t="n">
        <x:f>MAX(0,-K60)+'Assumptions'!$F$56</x:f>
        <x:v>59694.72438</x:v>
      </x:c>
      <x:c r="L61" s="40" t="n">
        <x:f>MAX(0,-L60)+'Assumptions'!$F$56</x:f>
        <x:v>52244.411501200004</x:v>
      </x:c>
      <x:c r="M61" s="40" t="n">
        <x:f>MAX(0,-M60)+'Assumptions'!$F$56</x:f>
        <x:v>51344.72315668801</x:v>
      </x:c>
      <x:c r="N61" s="40" t="n">
        <x:f>MAX(0,-N60)+'Assumptions'!$F$56</x:f>
        <x:v>48526.69184621613</x:v>
      </x:c>
      <x:c r="O61" s="40" t="n">
        <x:f>MAX(0,-O60)+'Assumptions'!$F$56</x:f>
        <x:v>42829.48586359801</x:v>
      </x:c>
      <x:c r="P61" s="40" t="n">
        <x:f>MAX(0,-P60)+'Assumptions'!$F$56</x:f>
        <x:v>35432.82759889764</x:v>
      </x:c>
      <x:c r="Q61" s="40" t="n">
        <x:f>MAX(0,-Q60)+'Assumptions'!$F$56</x:f>
        <x:v>28097.594049674917</x:v>
      </x:c>
      <x:c r="R61" s="3"/>
      <x:c r="S61" s="3"/>
    </x:row>
    <x:row r="62" ht="21" customHeight="1">
      <x:c r="A62" s="2"/>
      <x:c r="B62" s="2"/>
      <x:c r="C62" s="2" t="str">
        <x:v>Protected funding + operating buffer</x:v>
      </x:c>
      <x:c r="D62" s="39" t="n">
        <x:f>MAX(F62:Q62)</x:f>
        <x:v>80840.07687169113</x:v>
      </x:c>
      <x:c r="E62" s="63"/>
      <x:c r="F62" s="40" t="n">
        <x:f>MAX(0,F51-F60)+'Assumptions'!$F$56</x:f>
        <x:v>34000</x:v>
      </x:c>
      <x:c r="G62" s="40" t="n">
        <x:f>MAX(0,G51-G60)+'Assumptions'!$F$56</x:f>
        <x:v>45500</x:v>
      </x:c>
      <x:c r="H62" s="40" t="n">
        <x:f>MAX(0,H51-H60)+'Assumptions'!$F$56</x:f>
        <x:v>57861.5</x:v>
      </x:c>
      <x:c r="I62" s="40" t="n">
        <x:f>MAX(0,I51-I60)+'Assumptions'!$F$56</x:f>
        <x:v>62011.5</x:v>
      </x:c>
      <x:c r="J62" s="40" t="n">
        <x:f>MAX(0,J51-J60)+'Assumptions'!$F$56</x:f>
        <x:v>70458.30350000001</x:v>
      </x:c>
      <x:c r="K62" s="40" t="n">
        <x:f>MAX(0,K51-K60)+'Assumptions'!$F$56</x:f>
        <x:v>72975.96437999999</x:v>
      </x:c>
      <x:c r="L62" s="40" t="n">
        <x:f>MAX(0,L51-L60)+'Assumptions'!$F$56</x:f>
        <x:v>77378.99815120001</x:v>
      </x:c>
      <x:c r="M62" s="40" t="n">
        <x:f>MAX(0,M51-M60)+'Assumptions'!$F$56</x:f>
        <x:v>79873.80239968801</x:v>
      </x:c>
      <x:c r="N62" s="40" t="n">
        <x:f>MAX(0,N51-N60)+'Assumptions'!$F$56</x:f>
        <x:v>80840.07687169113</x:v>
      </x:c>
      <x:c r="O62" s="40" t="n">
        <x:f>MAX(0,O51-O60)+'Assumptions'!$F$56</x:f>
        <x:v>80499.18964797421</x:v>
      </x:c>
      <x:c r="P62" s="40" t="n">
        <x:f>MAX(0,P51-P60)+'Assumptions'!$F$56</x:f>
        <x:v>78861.23442849448</x:v>
      </x:c>
      <x:c r="Q62" s="40" t="n">
        <x:f>MAX(0,Q51-Q60)+'Assumptions'!$F$56</x:f>
        <x:v>74797.60489320954</x:v>
      </x:c>
      <x:c r="R62" s="3"/>
      <x:c r="S62" s="3"/>
    </x:row>
    <x:row r="63" ht="21" customHeight="1">
      <x:c r="A63" s="2"/>
      <x:c r="B63" s="2"/>
      <x:c r="C63" s="2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3"/>
      <x:c r="S63" s="3"/>
    </x:row>
    <x:row r="64" ht="21" customHeight="1">
      <x:c r="A64" s="2"/>
      <x:c r="B64" s="2"/>
      <x:c r="C64" s="2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3"/>
      <x:c r="S64" s="3"/>
    </x:row>
    <x:row r="65" ht="21" customHeight="1">
      <x:c r="A65" s="2"/>
      <x:c r="B65" s="2"/>
      <x:c r="C65" s="2" t="str">
        <x:v>Deferred revenue reconciliation</x:v>
      </x:c>
      <x:c r="D65" s="68" t="n">
        <x:f>SUM(F65:Q65)</x:f>
        <x:v>9.094947017729282e-12</x:v>
      </x:c>
      <x:c r="E65" s="69"/>
      <x:c r="F65" s="68" t="n">
        <x:f>F51-F50-F20+F24</x:f>
        <x:v>0</x:v>
      </x:c>
      <x:c r="G65" s="68" t="n">
        <x:f>G51-G50-G20+G24</x:f>
        <x:v>0</x:v>
      </x:c>
      <x:c r="H65" s="68" t="n">
        <x:f>H51-H50-H20+H24</x:f>
        <x:v>0</x:v>
      </x:c>
      <x:c r="I65" s="68" t="n">
        <x:f>I51-I50-I20+I24</x:f>
        <x:v>0</x:v>
      </x:c>
      <x:c r="J65" s="68" t="n">
        <x:f>J51-J50-J20+J24</x:f>
        <x:v>0</x:v>
      </x:c>
      <x:c r="K65" s="68" t="n">
        <x:f>K51-K50-K20+K24</x:f>
        <x:v>0</x:v>
      </x:c>
      <x:c r="L65" s="68" t="n">
        <x:f>L51-L50-L20+L24</x:f>
        <x:v>1.8189894035458565e-12</x:v>
      </x:c>
      <x:c r="M65" s="68" t="n">
        <x:f>M51-M50-M20+M24</x:f>
        <x:v>0</x:v>
      </x:c>
      <x:c r="N65" s="68" t="n">
        <x:f>N51-N50-N20+N24</x:f>
        <x:v>0</x:v>
      </x:c>
      <x:c r="O65" s="68" t="n">
        <x:f>O51-O50-O20+O24</x:f>
        <x:v>-3.637978807091713e-12</x:v>
      </x:c>
      <x:c r="P65" s="68" t="n">
        <x:f>P51-P50-P20+P24</x:f>
        <x:v>7.275957614183426e-12</x:v>
      </x:c>
      <x:c r="Q65" s="68" t="n">
        <x:f>Q51-Q50-Q20+Q24</x:f>
        <x:v>3.637978807091713e-12</x:v>
      </x:c>
      <x:c r="R65" s="3"/>
      <x:c r="S65" s="3"/>
    </x:row>
    <x:row r="66" ht="21" customHeight="1">
      <x:c r="A66" s="2"/>
      <x:c r="B66" s="2"/>
      <x:c r="C66" s="2" t="str">
        <x:v>Cash reconciliation</x:v>
      </x:c>
      <x:c r="D66" s="68" t="n">
        <x:f>SUM(F66:Q66)</x:f>
        <x:v>9.094947017729282e-12</x:v>
      </x:c>
      <x:c r="E66" s="69"/>
      <x:c r="F66" s="68" t="n">
        <x:f>F48-F47-F46</x:f>
        <x:v>0</x:v>
      </x:c>
      <x:c r="G66" s="68" t="n">
        <x:f>G48-G47-G46</x:f>
        <x:v>0</x:v>
      </x:c>
      <x:c r="H66" s="68" t="n">
        <x:f>H48-H47-H46</x:f>
        <x:v>0</x:v>
      </x:c>
      <x:c r="I66" s="68" t="n">
        <x:f>I48-I47-I46</x:f>
        <x:v>0</x:v>
      </x:c>
      <x:c r="J66" s="68" t="n">
        <x:f>J48-J47-J46</x:f>
        <x:v>0</x:v>
      </x:c>
      <x:c r="K66" s="68" t="n">
        <x:f>K48-K47-K46</x:f>
        <x:v>3.637978807091713e-12</x:v>
      </x:c>
      <x:c r="L66" s="68" t="n">
        <x:f>L48-L47-L46</x:f>
        <x:v>0</x:v>
      </x:c>
      <x:c r="M66" s="68" t="n">
        <x:f>M48-M47-M46</x:f>
        <x:v>-3.637978807091713e-12</x:v>
      </x:c>
      <x:c r="N66" s="68" t="n">
        <x:f>N48-N47-N46</x:f>
        <x:v>1.8189894035458565e-12</x:v>
      </x:c>
      <x:c r="O66" s="68" t="n">
        <x:f>O48-O47-O46</x:f>
        <x:v>7.275957614183426e-12</x:v>
      </x:c>
      <x:c r="P66" s="68" t="n">
        <x:f>P48-P47-P46</x:f>
        <x:v>-3.637978807091713e-12</x:v>
      </x:c>
      <x:c r="Q66" s="68" t="n">
        <x:f>Q48-Q47-Q46</x:f>
        <x:v>3.637978807091713e-12</x:v>
      </x:c>
      <x:c r="R66" s="3"/>
      <x:c r="S66" s="3"/>
    </x:row>
    <x:row r="67" ht="21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 ht="21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 ht="21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 ht="21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 ht="21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 ht="21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 ht="21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 ht="21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 ht="21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 ht="21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 ht="21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 ht="21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 ht="21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 ht="21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</x:sheetData>
  <x:conditionalFormatting sqref="F65:Q66">
    <x:cfRule type="cellIs" dxfId="0" priority="1" operator="notBetween">
      <x:formula>-0.01</x:formula>
      <x:formula>0.01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" hidden="0" customWidth="1"/>
    <x:col min="19" max="19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2"/>
      <x:c r="B2" s="2"/>
      <x:c r="C2" s="4" t="str">
        <x:v>Pilot cohorts and remaining service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2"/>
      <x:c r="S3" s="2"/>
    </x:row>
    <x:row r="4" ht="21" customHeight="1">
      <x:c r="A4" s="2"/>
      <x:c r="B4" s="2"/>
      <x:c r="C4" s="2" t="str">
        <x:v>Case Selected:</x:v>
      </x:c>
      <x:c r="D4" s="8" t="str">
        <x:f>CHOOSE('Assumptions'!$D$4,"Downside","Base","Capacity")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1" customHeight="1">
      <x:c r="A6" s="2"/>
      <x:c r="B6" s="2"/>
      <x:c r="C6" s="2" t="str">
        <x:v>Expected-value people. Conversion and prepay assumptions are tagged to each intake cohort.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1" customHeight="1">
      <x:c r="A8" s="2"/>
      <x:c r="B8" s="2"/>
      <x:c r="C8" s="19" t="str">
        <x:v>Intake month</x:v>
      </x:c>
      <x:c r="D8" s="20" t="str">
        <x:v>Paid starts</x:v>
      </x:c>
      <x:c r="E8" s="20" t="str">
        <x:v>Graduates</x:v>
      </x:c>
      <x:c r="F8" s="21" t="n">
        <x:v>1</x:v>
      </x:c>
      <x:c r="G8" s="21" t="n">
        <x:v>2</x:v>
      </x:c>
      <x:c r="H8" s="21" t="n">
        <x:v>3</x:v>
      </x:c>
      <x:c r="I8" s="21" t="n">
        <x:v>4</x:v>
      </x:c>
      <x:c r="J8" s="21" t="n">
        <x:v>5</x:v>
      </x:c>
      <x:c r="K8" s="21" t="n">
        <x:v>6</x:v>
      </x:c>
      <x:c r="L8" s="21" t="n">
        <x:v>7</x:v>
      </x:c>
      <x:c r="M8" s="21" t="n">
        <x:v>8</x:v>
      </x:c>
      <x:c r="N8" s="21" t="n">
        <x:v>9</x:v>
      </x:c>
      <x:c r="O8" s="21" t="n">
        <x:v>10</x:v>
      </x:c>
      <x:c r="P8" s="21" t="n">
        <x:v>11</x:v>
      </x:c>
      <x:c r="Q8" s="21" t="n">
        <x:v>12</x:v>
      </x:c>
      <x:c r="R8" s="3"/>
      <x:c r="S8" s="3" t="str">
        <x:v>Prepay share</x:v>
      </x:c>
    </x:row>
    <x:row r="9" ht="21" customHeight="1">
      <x:c r="A9" s="2"/>
      <x:c r="B9" s="2"/>
      <x:c r="C9" s="12" t="n">
        <x:v>1</x:v>
      </x:c>
      <x:c r="D9" s="37" t="n">
        <x:f>'Assumptions'!F9</x:f>
        <x:v>0</x:v>
      </x:c>
      <x:c r="E9" s="37" t="n">
        <x:f>D9*(1-'Assumptions'!F19)*'Assumptions'!F14</x:f>
        <x:v>0</x:v>
      </x:c>
      <x:c r="F9" s="38" t="n">
        <x:f>0</x:f>
        <x:v>0</x:v>
      </x:c>
      <x:c r="G9" s="38" t="n">
        <x:f>0</x:f>
        <x:v>0</x:v>
      </x:c>
      <x:c r="H9" s="38" t="n">
        <x:f>$E9</x:f>
        <x:v>0</x:v>
      </x:c>
      <x:c r="I9" s="37" t="n">
        <x:f>H9*(1-'Assumptions'!I24)</x:f>
        <x:v>0</x:v>
      </x:c>
      <x:c r="J9" s="37" t="n">
        <x:f>I9*(1-'Assumptions'!J24)</x:f>
        <x:v>0</x:v>
      </x:c>
      <x:c r="K9" s="37" t="n">
        <x:f>J9*(1-'Assumptions'!K24)</x:f>
        <x:v>0</x:v>
      </x:c>
      <x:c r="L9" s="37" t="n">
        <x:f>K9*(1-'Assumptions'!L24)</x:f>
        <x:v>0</x:v>
      </x:c>
      <x:c r="M9" s="37" t="n">
        <x:f>L9*(1-'Assumptions'!M24)</x:f>
        <x:v>0</x:v>
      </x:c>
      <x:c r="N9" s="37" t="n">
        <x:f>M9*(1-'Assumptions'!N24)</x:f>
        <x:v>0</x:v>
      </x:c>
      <x:c r="O9" s="37" t="n">
        <x:f>N9*(1-'Assumptions'!O24)</x:f>
        <x:v>0</x:v>
      </x:c>
      <x:c r="P9" s="37" t="n">
        <x:f>O9*(1-'Assumptions'!P24)</x:f>
        <x:v>0</x:v>
      </x:c>
      <x:c r="Q9" s="37" t="n">
        <x:f>P9*(1-'Assumptions'!Q24)</x:f>
        <x:v>0</x:v>
      </x:c>
      <x:c r="R9" s="3"/>
      <x:c r="S9" s="59" t="n">
        <x:f>'Assumptions'!F29</x:f>
        <x:v>0.5</x:v>
      </x:c>
    </x:row>
    <x:row r="10" ht="21" customHeight="1">
      <x:c r="A10" s="2"/>
      <x:c r="B10" s="2"/>
      <x:c r="C10" s="12" t="n">
        <x:v>2</x:v>
      </x:c>
      <x:c r="D10" s="37" t="n">
        <x:f>'Assumptions'!G9</x:f>
        <x:v>0</x:v>
      </x:c>
      <x:c r="E10" s="37" t="n">
        <x:f>D10*(1-'Assumptions'!G19)*'Assumptions'!G14</x:f>
        <x:v>0</x:v>
      </x:c>
      <x:c r="F10" s="38" t="n">
        <x:f>0</x:f>
        <x:v>0</x:v>
      </x:c>
      <x:c r="G10" s="38" t="n">
        <x:f>0</x:f>
        <x:v>0</x:v>
      </x:c>
      <x:c r="H10" s="38" t="n">
        <x:f>0</x:f>
        <x:v>0</x:v>
      </x:c>
      <x:c r="I10" s="38" t="n">
        <x:f>$E10</x:f>
        <x:v>0</x:v>
      </x:c>
      <x:c r="J10" s="37" t="n">
        <x:f>I10*(1-'Assumptions'!J24)</x:f>
        <x:v>0</x:v>
      </x:c>
      <x:c r="K10" s="37" t="n">
        <x:f>J10*(1-'Assumptions'!K24)</x:f>
        <x:v>0</x:v>
      </x:c>
      <x:c r="L10" s="37" t="n">
        <x:f>K10*(1-'Assumptions'!L24)</x:f>
        <x:v>0</x:v>
      </x:c>
      <x:c r="M10" s="37" t="n">
        <x:f>L10*(1-'Assumptions'!M24)</x:f>
        <x:v>0</x:v>
      </x:c>
      <x:c r="N10" s="37" t="n">
        <x:f>M10*(1-'Assumptions'!N24)</x:f>
        <x:v>0</x:v>
      </x:c>
      <x:c r="O10" s="37" t="n">
        <x:f>N10*(1-'Assumptions'!O24)</x:f>
        <x:v>0</x:v>
      </x:c>
      <x:c r="P10" s="37" t="n">
        <x:f>O10*(1-'Assumptions'!P24)</x:f>
        <x:v>0</x:v>
      </x:c>
      <x:c r="Q10" s="37" t="n">
        <x:f>P10*(1-'Assumptions'!Q24)</x:f>
        <x:v>0</x:v>
      </x:c>
      <x:c r="R10" s="3"/>
      <x:c r="S10" s="59" t="n">
        <x:f>'Assumptions'!G29</x:f>
        <x:v>0.5</x:v>
      </x:c>
    </x:row>
    <x:row r="11" ht="21" customHeight="1">
      <x:c r="A11" s="2"/>
      <x:c r="B11" s="2"/>
      <x:c r="C11" s="12" t="n">
        <x:v>3</x:v>
      </x:c>
      <x:c r="D11" s="37" t="n">
        <x:f>'Assumptions'!H9</x:f>
        <x:v>5</x:v>
      </x:c>
      <x:c r="E11" s="37" t="n">
        <x:f>D11*(1-'Assumptions'!H19)*'Assumptions'!H14</x:f>
        <x:v>2.9099999999999997</x:v>
      </x:c>
      <x:c r="F11" s="38" t="n">
        <x:f>0</x:f>
        <x:v>0</x:v>
      </x:c>
      <x:c r="G11" s="38" t="n">
        <x:f>0</x:f>
        <x:v>0</x:v>
      </x:c>
      <x:c r="H11" s="38" t="n">
        <x:f>0</x:f>
        <x:v>0</x:v>
      </x:c>
      <x:c r="I11" s="38" t="n">
        <x:f>0</x:f>
        <x:v>0</x:v>
      </x:c>
      <x:c r="J11" s="38" t="n">
        <x:f>$E11</x:f>
        <x:v>2.9099999999999997</x:v>
      </x:c>
      <x:c r="K11" s="37" t="n">
        <x:f>J11*(1-'Assumptions'!K24)</x:f>
        <x:v>2.8808999999999996</x:v>
      </x:c>
      <x:c r="L11" s="37" t="n">
        <x:f>K11*(1-'Assumptions'!L24)</x:f>
        <x:v>2.8520909999999997</x:v>
      </x:c>
      <x:c r="M11" s="37" t="n">
        <x:f>L11*(1-'Assumptions'!M24)</x:f>
        <x:v>2.8235700899999996</x:v>
      </x:c>
      <x:c r="N11" s="37" t="n">
        <x:f>M11*(1-'Assumptions'!N24)</x:f>
        <x:v>2.7953343890999998</x:v>
      </x:c>
      <x:c r="O11" s="37" t="n">
        <x:f>N11*(1-'Assumptions'!O24)</x:f>
        <x:v>2.7673810452089995</x:v>
      </x:c>
      <x:c r="P11" s="37" t="n">
        <x:f>O11*(1-'Assumptions'!P24)</x:f>
        <x:v>2.7397072347569096</x:v>
      </x:c>
      <x:c r="Q11" s="37" t="n">
        <x:f>P11*(1-'Assumptions'!Q24)</x:f>
        <x:v>2.7123101624093406</x:v>
      </x:c>
      <x:c r="R11" s="3"/>
      <x:c r="S11" s="59" t="n">
        <x:f>'Assumptions'!H29</x:f>
        <x:v>0.5</x:v>
      </x:c>
    </x:row>
    <x:row r="12" ht="21" customHeight="1">
      <x:c r="A12" s="2"/>
      <x:c r="B12" s="2"/>
      <x:c r="C12" s="12" t="n">
        <x:v>4</x:v>
      </x:c>
      <x:c r="D12" s="37" t="n">
        <x:f>'Assumptions'!I9</x:f>
        <x:v>0</x:v>
      </x:c>
      <x:c r="E12" s="37" t="n">
        <x:f>D12*(1-'Assumptions'!I19)*'Assumptions'!I14</x:f>
        <x:v>0</x:v>
      </x:c>
      <x:c r="F12" s="38" t="n">
        <x:f>0</x:f>
        <x:v>0</x:v>
      </x:c>
      <x:c r="G12" s="38" t="n">
        <x:f>0</x:f>
        <x:v>0</x:v>
      </x:c>
      <x:c r="H12" s="38" t="n">
        <x:f>0</x:f>
        <x:v>0</x:v>
      </x:c>
      <x:c r="I12" s="38" t="n">
        <x:f>0</x:f>
        <x:v>0</x:v>
      </x:c>
      <x:c r="J12" s="38" t="n">
        <x:f>0</x:f>
        <x:v>0</x:v>
      </x:c>
      <x:c r="K12" s="38" t="n">
        <x:f>$E12</x:f>
        <x:v>0</x:v>
      </x:c>
      <x:c r="L12" s="37" t="n">
        <x:f>K12*(1-'Assumptions'!L24)</x:f>
        <x:v>0</x:v>
      </x:c>
      <x:c r="M12" s="37" t="n">
        <x:f>L12*(1-'Assumptions'!M24)</x:f>
        <x:v>0</x:v>
      </x:c>
      <x:c r="N12" s="37" t="n">
        <x:f>M12*(1-'Assumptions'!N24)</x:f>
        <x:v>0</x:v>
      </x:c>
      <x:c r="O12" s="37" t="n">
        <x:f>N12*(1-'Assumptions'!O24)</x:f>
        <x:v>0</x:v>
      </x:c>
      <x:c r="P12" s="37" t="n">
        <x:f>O12*(1-'Assumptions'!P24)</x:f>
        <x:v>0</x:v>
      </x:c>
      <x:c r="Q12" s="37" t="n">
        <x:f>P12*(1-'Assumptions'!Q24)</x:f>
        <x:v>0</x:v>
      </x:c>
      <x:c r="R12" s="3"/>
      <x:c r="S12" s="59" t="n">
        <x:f>'Assumptions'!I29</x:f>
        <x:v>0.5</x:v>
      </x:c>
    </x:row>
    <x:row r="13" ht="21" customHeight="1">
      <x:c r="A13" s="2"/>
      <x:c r="B13" s="2"/>
      <x:c r="C13" s="12" t="n">
        <x:v>5</x:v>
      </x:c>
      <x:c r="D13" s="37" t="n">
        <x:f>'Assumptions'!J9</x:f>
        <x:v>5</x:v>
      </x:c>
      <x:c r="E13" s="37" t="n">
        <x:f>D13*(1-'Assumptions'!J19)*'Assumptions'!J14</x:f>
        <x:v>2.9099999999999997</x:v>
      </x:c>
      <x:c r="F13" s="38" t="n">
        <x:f>0</x:f>
        <x:v>0</x:v>
      </x:c>
      <x:c r="G13" s="38" t="n">
        <x:f>0</x:f>
        <x:v>0</x:v>
      </x:c>
      <x:c r="H13" s="38" t="n">
        <x:f>0</x:f>
        <x:v>0</x:v>
      </x:c>
      <x:c r="I13" s="38" t="n">
        <x:f>0</x:f>
        <x:v>0</x:v>
      </x:c>
      <x:c r="J13" s="38" t="n">
        <x:f>0</x:f>
        <x:v>0</x:v>
      </x:c>
      <x:c r="K13" s="38" t="n">
        <x:f>0</x:f>
        <x:v>0</x:v>
      </x:c>
      <x:c r="L13" s="38" t="n">
        <x:f>$E13</x:f>
        <x:v>2.9099999999999997</x:v>
      </x:c>
      <x:c r="M13" s="37" t="n">
        <x:f>L13*(1-'Assumptions'!M24)</x:f>
        <x:v>2.8808999999999996</x:v>
      </x:c>
      <x:c r="N13" s="37" t="n">
        <x:f>M13*(1-'Assumptions'!N24)</x:f>
        <x:v>2.8520909999999997</x:v>
      </x:c>
      <x:c r="O13" s="37" t="n">
        <x:f>N13*(1-'Assumptions'!O24)</x:f>
        <x:v>2.8235700899999996</x:v>
      </x:c>
      <x:c r="P13" s="37" t="n">
        <x:f>O13*(1-'Assumptions'!P24)</x:f>
        <x:v>2.7953343890999998</x:v>
      </x:c>
      <x:c r="Q13" s="37" t="n">
        <x:f>P13*(1-'Assumptions'!Q24)</x:f>
        <x:v>2.7673810452089995</x:v>
      </x:c>
      <x:c r="R13" s="3"/>
      <x:c r="S13" s="59" t="n">
        <x:f>'Assumptions'!J29</x:f>
        <x:v>0.5</x:v>
      </x:c>
    </x:row>
    <x:row r="14" ht="21" customHeight="1">
      <x:c r="A14" s="2"/>
      <x:c r="B14" s="2"/>
      <x:c r="C14" s="12" t="n">
        <x:v>6</x:v>
      </x:c>
      <x:c r="D14" s="37" t="n">
        <x:f>'Assumptions'!K9</x:f>
        <x:v>2</x:v>
      </x:c>
      <x:c r="E14" s="37" t="n">
        <x:f>D14*(1-'Assumptions'!K19)*'Assumptions'!K14</x:f>
        <x:v>1.164</x:v>
      </x:c>
      <x:c r="F14" s="38" t="n">
        <x:f>0</x:f>
        <x:v>0</x:v>
      </x:c>
      <x:c r="G14" s="38" t="n">
        <x:f>0</x:f>
        <x:v>0</x:v>
      </x:c>
      <x:c r="H14" s="38" t="n">
        <x:f>0</x:f>
        <x:v>0</x:v>
      </x:c>
      <x:c r="I14" s="38" t="n">
        <x:f>0</x:f>
        <x:v>0</x:v>
      </x:c>
      <x:c r="J14" s="38" t="n">
        <x:f>0</x:f>
        <x:v>0</x:v>
      </x:c>
      <x:c r="K14" s="38" t="n">
        <x:f>0</x:f>
        <x:v>0</x:v>
      </x:c>
      <x:c r="L14" s="38" t="n">
        <x:f>0</x:f>
        <x:v>0</x:v>
      </x:c>
      <x:c r="M14" s="38" t="n">
        <x:f>$E14</x:f>
        <x:v>1.164</x:v>
      </x:c>
      <x:c r="N14" s="37" t="n">
        <x:f>M14*(1-'Assumptions'!N24)</x:f>
        <x:v>1.1523599999999998</x:v>
      </x:c>
      <x:c r="O14" s="37" t="n">
        <x:f>N14*(1-'Assumptions'!O24)</x:f>
        <x:v>1.1408363999999998</x:v>
      </x:c>
      <x:c r="P14" s="37" t="n">
        <x:f>O14*(1-'Assumptions'!P24)</x:f>
        <x:v>1.1294280359999997</x:v>
      </x:c>
      <x:c r="Q14" s="37" t="n">
        <x:f>P14*(1-'Assumptions'!Q24)</x:f>
        <x:v>1.1181337556399997</x:v>
      </x:c>
      <x:c r="R14" s="3"/>
      <x:c r="S14" s="59" t="n">
        <x:f>'Assumptions'!K29</x:f>
        <x:v>0.5</x:v>
      </x:c>
    </x:row>
    <x:row r="15" ht="21" customHeight="1">
      <x:c r="A15" s="2"/>
      <x:c r="B15" s="2"/>
      <x:c r="C15" s="12" t="n">
        <x:v>7</x:v>
      </x:c>
      <x:c r="D15" s="37" t="n">
        <x:f>'Assumptions'!L9</x:f>
        <x:v>3</x:v>
      </x:c>
      <x:c r="E15" s="37" t="n">
        <x:f>D15*(1-'Assumptions'!L19)*'Assumptions'!L14</x:f>
        <x:v>1.746</x:v>
      </x:c>
      <x:c r="F15" s="38" t="n">
        <x:f>0</x:f>
        <x:v>0</x:v>
      </x:c>
      <x:c r="G15" s="38" t="n">
        <x:f>0</x:f>
        <x:v>0</x:v>
      </x:c>
      <x:c r="H15" s="38" t="n">
        <x:f>0</x:f>
        <x:v>0</x:v>
      </x:c>
      <x:c r="I15" s="38" t="n">
        <x:f>0</x:f>
        <x:v>0</x:v>
      </x:c>
      <x:c r="J15" s="38" t="n">
        <x:f>0</x:f>
        <x:v>0</x:v>
      </x:c>
      <x:c r="K15" s="38" t="n">
        <x:f>0</x:f>
        <x:v>0</x:v>
      </x:c>
      <x:c r="L15" s="38" t="n">
        <x:f>0</x:f>
        <x:v>0</x:v>
      </x:c>
      <x:c r="M15" s="38" t="n">
        <x:f>0</x:f>
        <x:v>0</x:v>
      </x:c>
      <x:c r="N15" s="38" t="n">
        <x:f>$E15</x:f>
        <x:v>1.746</x:v>
      </x:c>
      <x:c r="O15" s="37" t="n">
        <x:f>N15*(1-'Assumptions'!O24)</x:f>
        <x:v>1.72854</x:v>
      </x:c>
      <x:c r="P15" s="37" t="n">
        <x:f>O15*(1-'Assumptions'!P24)</x:f>
        <x:v>1.7112546</x:v>
      </x:c>
      <x:c r="Q15" s="37" t="n">
        <x:f>P15*(1-'Assumptions'!Q24)</x:f>
        <x:v>1.6941420539999998</x:v>
      </x:c>
      <x:c r="R15" s="3"/>
      <x:c r="S15" s="59" t="n">
        <x:f>'Assumptions'!L29</x:f>
        <x:v>0.5</x:v>
      </x:c>
    </x:row>
    <x:row r="16" ht="21" customHeight="1">
      <x:c r="A16" s="2"/>
      <x:c r="B16" s="2"/>
      <x:c r="C16" s="12" t="n">
        <x:v>8</x:v>
      </x:c>
      <x:c r="D16" s="37" t="n">
        <x:f>'Assumptions'!M9</x:f>
        <x:v>4</x:v>
      </x:c>
      <x:c r="E16" s="37" t="n">
        <x:f>D16*(1-'Assumptions'!M19)*'Assumptions'!M14</x:f>
        <x:v>2.328</x:v>
      </x:c>
      <x:c r="F16" s="38" t="n">
        <x:f>0</x:f>
        <x:v>0</x:v>
      </x:c>
      <x:c r="G16" s="38" t="n">
        <x:f>0</x:f>
        <x:v>0</x:v>
      </x:c>
      <x:c r="H16" s="38" t="n">
        <x:f>0</x:f>
        <x:v>0</x:v>
      </x:c>
      <x:c r="I16" s="38" t="n">
        <x:f>0</x:f>
        <x:v>0</x:v>
      </x:c>
      <x:c r="J16" s="38" t="n">
        <x:f>0</x:f>
        <x:v>0</x:v>
      </x:c>
      <x:c r="K16" s="38" t="n">
        <x:f>0</x:f>
        <x:v>0</x:v>
      </x:c>
      <x:c r="L16" s="38" t="n">
        <x:f>0</x:f>
        <x:v>0</x:v>
      </x:c>
      <x:c r="M16" s="38" t="n">
        <x:f>0</x:f>
        <x:v>0</x:v>
      </x:c>
      <x:c r="N16" s="38" t="n">
        <x:f>0</x:f>
        <x:v>0</x:v>
      </x:c>
      <x:c r="O16" s="38" t="n">
        <x:f>$E16</x:f>
        <x:v>2.328</x:v>
      </x:c>
      <x:c r="P16" s="37" t="n">
        <x:f>O16*(1-'Assumptions'!P24)</x:f>
        <x:v>2.3047199999999997</x:v>
      </x:c>
      <x:c r="Q16" s="37" t="n">
        <x:f>P16*(1-'Assumptions'!Q24)</x:f>
        <x:v>2.2816727999999995</x:v>
      </x:c>
      <x:c r="R16" s="3"/>
      <x:c r="S16" s="59" t="n">
        <x:f>'Assumptions'!M29</x:f>
        <x:v>0.5</x:v>
      </x:c>
    </x:row>
    <x:row r="17" ht="21" customHeight="1">
      <x:c r="A17" s="2"/>
      <x:c r="B17" s="2"/>
      <x:c r="C17" s="12" t="n">
        <x:v>9</x:v>
      </x:c>
      <x:c r="D17" s="37" t="n">
        <x:f>'Assumptions'!N9</x:f>
        <x:v>4</x:v>
      </x:c>
      <x:c r="E17" s="37" t="n">
        <x:f>D17*(1-'Assumptions'!N19)*'Assumptions'!N14</x:f>
        <x:v>2.328</x:v>
      </x:c>
      <x:c r="F17" s="38" t="n">
        <x:f>0</x:f>
        <x:v>0</x:v>
      </x:c>
      <x:c r="G17" s="38" t="n">
        <x:f>0</x:f>
        <x:v>0</x:v>
      </x:c>
      <x:c r="H17" s="38" t="n">
        <x:f>0</x:f>
        <x:v>0</x:v>
      </x:c>
      <x:c r="I17" s="38" t="n">
        <x:f>0</x:f>
        <x:v>0</x:v>
      </x:c>
      <x:c r="J17" s="38" t="n">
        <x:f>0</x:f>
        <x:v>0</x:v>
      </x:c>
      <x:c r="K17" s="38" t="n">
        <x:f>0</x:f>
        <x:v>0</x:v>
      </x:c>
      <x:c r="L17" s="38" t="n">
        <x:f>0</x:f>
        <x:v>0</x:v>
      </x:c>
      <x:c r="M17" s="38" t="n">
        <x:f>0</x:f>
        <x:v>0</x:v>
      </x:c>
      <x:c r="N17" s="38" t="n">
        <x:f>0</x:f>
        <x:v>0</x:v>
      </x:c>
      <x:c r="O17" s="38" t="n">
        <x:f>0</x:f>
        <x:v>0</x:v>
      </x:c>
      <x:c r="P17" s="38" t="n">
        <x:f>$E17</x:f>
        <x:v>2.328</x:v>
      </x:c>
      <x:c r="Q17" s="37" t="n">
        <x:f>P17*(1-'Assumptions'!Q24)</x:f>
        <x:v>2.3047199999999997</x:v>
      </x:c>
      <x:c r="R17" s="3"/>
      <x:c r="S17" s="59" t="n">
        <x:f>'Assumptions'!N29</x:f>
        <x:v>0.5</x:v>
      </x:c>
    </x:row>
    <x:row r="18" ht="21" customHeight="1">
      <x:c r="A18" s="2"/>
      <x:c r="B18" s="2"/>
      <x:c r="C18" s="12" t="n">
        <x:v>10</x:v>
      </x:c>
      <x:c r="D18" s="37" t="n">
        <x:f>'Assumptions'!O9</x:f>
        <x:v>4</x:v>
      </x:c>
      <x:c r="E18" s="37" t="n">
        <x:f>D18*(1-'Assumptions'!O19)*'Assumptions'!O14</x:f>
        <x:v>2.328</x:v>
      </x:c>
      <x:c r="F18" s="38" t="n">
        <x:f>0</x:f>
        <x:v>0</x:v>
      </x:c>
      <x:c r="G18" s="38" t="n">
        <x:f>0</x:f>
        <x:v>0</x:v>
      </x:c>
      <x:c r="H18" s="38" t="n">
        <x:f>0</x:f>
        <x:v>0</x:v>
      </x:c>
      <x:c r="I18" s="38" t="n">
        <x:f>0</x:f>
        <x:v>0</x:v>
      </x:c>
      <x:c r="J18" s="38" t="n">
        <x:f>0</x:f>
        <x:v>0</x:v>
      </x:c>
      <x:c r="K18" s="38" t="n">
        <x:f>0</x:f>
        <x:v>0</x:v>
      </x:c>
      <x:c r="L18" s="38" t="n">
        <x:f>0</x:f>
        <x:v>0</x:v>
      </x:c>
      <x:c r="M18" s="38" t="n">
        <x:f>0</x:f>
        <x:v>0</x:v>
      </x:c>
      <x:c r="N18" s="38" t="n">
        <x:f>0</x:f>
        <x:v>0</x:v>
      </x:c>
      <x:c r="O18" s="38" t="n">
        <x:f>0</x:f>
        <x:v>0</x:v>
      </x:c>
      <x:c r="P18" s="38" t="n">
        <x:f>0</x:f>
        <x:v>0</x:v>
      </x:c>
      <x:c r="Q18" s="38" t="n">
        <x:f>$E18</x:f>
        <x:v>2.328</x:v>
      </x:c>
      <x:c r="R18" s="3"/>
      <x:c r="S18" s="59" t="n">
        <x:f>'Assumptions'!O29</x:f>
        <x:v>0.5</x:v>
      </x:c>
    </x:row>
    <x:row r="19" ht="21" customHeight="1">
      <x:c r="A19" s="2"/>
      <x:c r="B19" s="2"/>
      <x:c r="C19" s="12" t="n">
        <x:v>11</x:v>
      </x:c>
      <x:c r="D19" s="37" t="n">
        <x:f>'Assumptions'!P9</x:f>
        <x:v>5</x:v>
      </x:c>
      <x:c r="E19" s="37" t="n">
        <x:f>D19*(1-'Assumptions'!P19)*'Assumptions'!P14</x:f>
        <x:v>2.9099999999999997</x:v>
      </x:c>
      <x:c r="F19" s="38" t="n">
        <x:f>0</x:f>
        <x:v>0</x:v>
      </x:c>
      <x:c r="G19" s="38" t="n">
        <x:f>0</x:f>
        <x:v>0</x:v>
      </x:c>
      <x:c r="H19" s="38" t="n">
        <x:f>0</x:f>
        <x:v>0</x:v>
      </x:c>
      <x:c r="I19" s="38" t="n">
        <x:f>0</x:f>
        <x:v>0</x:v>
      </x:c>
      <x:c r="J19" s="38" t="n">
        <x:f>0</x:f>
        <x:v>0</x:v>
      </x:c>
      <x:c r="K19" s="38" t="n">
        <x:f>0</x:f>
        <x:v>0</x:v>
      </x:c>
      <x:c r="L19" s="38" t="n">
        <x:f>0</x:f>
        <x:v>0</x:v>
      </x:c>
      <x:c r="M19" s="38" t="n">
        <x:f>0</x:f>
        <x:v>0</x:v>
      </x:c>
      <x:c r="N19" s="38" t="n">
        <x:f>0</x:f>
        <x:v>0</x:v>
      </x:c>
      <x:c r="O19" s="38" t="n">
        <x:f>0</x:f>
        <x:v>0</x:v>
      </x:c>
      <x:c r="P19" s="38" t="n">
        <x:f>0</x:f>
        <x:v>0</x:v>
      </x:c>
      <x:c r="Q19" s="38" t="n">
        <x:f>0</x:f>
        <x:v>0</x:v>
      </x:c>
      <x:c r="R19" s="3"/>
      <x:c r="S19" s="59" t="n">
        <x:f>'Assumptions'!P29</x:f>
        <x:v>0.5</x:v>
      </x:c>
    </x:row>
    <x:row r="20" ht="21" customHeight="1">
      <x:c r="A20" s="2"/>
      <x:c r="B20" s="2"/>
      <x:c r="C20" s="12" t="n">
        <x:v>12</x:v>
      </x:c>
      <x:c r="D20" s="37" t="n">
        <x:f>'Assumptions'!Q9</x:f>
        <x:v>5</x:v>
      </x:c>
      <x:c r="E20" s="37" t="n">
        <x:f>D20*(1-'Assumptions'!Q19)*'Assumptions'!Q14</x:f>
        <x:v>2.9099999999999997</x:v>
      </x:c>
      <x:c r="F20" s="38" t="n">
        <x:f>0</x:f>
        <x:v>0</x:v>
      </x:c>
      <x:c r="G20" s="38" t="n">
        <x:f>0</x:f>
        <x:v>0</x:v>
      </x:c>
      <x:c r="H20" s="38" t="n">
        <x:f>0</x:f>
        <x:v>0</x:v>
      </x:c>
      <x:c r="I20" s="38" t="n">
        <x:f>0</x:f>
        <x:v>0</x:v>
      </x:c>
      <x:c r="J20" s="38" t="n">
        <x:f>0</x:f>
        <x:v>0</x:v>
      </x:c>
      <x:c r="K20" s="38" t="n">
        <x:f>0</x:f>
        <x:v>0</x:v>
      </x:c>
      <x:c r="L20" s="38" t="n">
        <x:f>0</x:f>
        <x:v>0</x:v>
      </x:c>
      <x:c r="M20" s="38" t="n">
        <x:f>0</x:f>
        <x:v>0</x:v>
      </x:c>
      <x:c r="N20" s="38" t="n">
        <x:f>0</x:f>
        <x:v>0</x:v>
      </x:c>
      <x:c r="O20" s="38" t="n">
        <x:f>0</x:f>
        <x:v>0</x:v>
      </x:c>
      <x:c r="P20" s="38" t="n">
        <x:f>0</x:f>
        <x:v>0</x:v>
      </x:c>
      <x:c r="Q20" s="38" t="n">
        <x:f>0</x:f>
        <x:v>0</x:v>
      </x:c>
      <x:c r="R20" s="3"/>
      <x:c r="S20" s="59" t="n">
        <x:f>'Assumptions'!Q29</x:f>
        <x:v>0.5</x:v>
      </x:c>
    </x:row>
    <x:row r="21" ht="21" customHeight="1">
      <x:c r="A21" s="2"/>
      <x:c r="B21" s="2"/>
      <x:c r="C21" s="2" t="str">
        <x:v>Active continuing members</x:v>
      </x:c>
      <x:c r="D21" s="61"/>
      <x:c r="E21" s="61"/>
      <x:c r="F21" s="38" t="n">
        <x:f>SUM(F9:F20)</x:f>
        <x:v>0</x:v>
      </x:c>
      <x:c r="G21" s="38" t="n">
        <x:f>SUM(G9:G20)</x:f>
        <x:v>0</x:v>
      </x:c>
      <x:c r="H21" s="38" t="n">
        <x:f>SUM(H9:H20)</x:f>
        <x:v>0</x:v>
      </x:c>
      <x:c r="I21" s="38" t="n">
        <x:f>SUM(I9:I20)</x:f>
        <x:v>0</x:v>
      </x:c>
      <x:c r="J21" s="38" t="n">
        <x:f>SUM(J9:J20)</x:f>
        <x:v>2.9099999999999997</x:v>
      </x:c>
      <x:c r="K21" s="38" t="n">
        <x:f>SUM(K9:K20)</x:f>
        <x:v>2.8808999999999996</x:v>
      </x:c>
      <x:c r="L21" s="38" t="n">
        <x:f>SUM(L9:L20)</x:f>
        <x:v>5.762091</x:v>
      </x:c>
      <x:c r="M21" s="38" t="n">
        <x:f>SUM(M9:M20)</x:f>
        <x:v>6.868470089999999</x:v>
      </x:c>
      <x:c r="N21" s="38" t="n">
        <x:f>SUM(N9:N20)</x:f>
        <x:v>8.545785389099999</x:v>
      </x:c>
      <x:c r="O21" s="38" t="n">
        <x:f>SUM(O9:O20)</x:f>
        <x:v>10.788327535208998</x:v>
      </x:c>
      <x:c r="P21" s="38" t="n">
        <x:f>SUM(P9:P20)</x:f>
        <x:v>13.008444259856908</x:v>
      </x:c>
      <x:c r="Q21" s="38" t="n">
        <x:f>SUM(Q9:Q20)</x:f>
        <x:v>15.206359817258338</x:v>
      </x:c>
      <x:c r="R21" s="3"/>
      <x:c r="S21" s="3"/>
    </x:row>
    <x:row r="22" ht="21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 ht="21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 ht="21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 ht="21" customHeight="1">
      <x:c r="A25" s="2"/>
      <x:c r="B25" s="2"/>
      <x:c r="C25" s="24" t="str">
        <x:v>Remaining-term prepay collections</x:v>
      </x:c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3"/>
      <x:c r="S25" s="3"/>
    </x:row>
    <x:row r="26" ht="21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 ht="21" customHeight="1">
      <x:c r="A27" s="2"/>
      <x:c r="B27" s="2"/>
      <x:c r="C27" s="60" t="n">
        <x:f>C9</x:f>
        <x:v>1</x:v>
      </x:c>
      <x:c r="D27" s="3"/>
      <x:c r="E27" s="3"/>
      <x:c r="F27" s="39" t="n">
        <x:f>0</x:f>
        <x:v>0</x:v>
      </x:c>
      <x:c r="G27" s="39" t="n">
        <x:f>0</x:f>
        <x:v>0</x:v>
      </x:c>
      <x:c r="H27" s="40" t="n">
        <x:f>H9*$S9*'Unit economics'!$D$39</x:f>
        <x:v>0</x:v>
      </x:c>
      <x:c r="I27" s="39" t="n">
        <x:f>0</x:f>
        <x:v>0</x:v>
      </x:c>
      <x:c r="J27" s="39" t="n">
        <x:f>0</x:f>
        <x:v>0</x:v>
      </x:c>
      <x:c r="K27" s="39" t="n">
        <x:f>0</x:f>
        <x:v>0</x:v>
      </x:c>
      <x:c r="L27" s="39" t="n">
        <x:f>0</x:f>
        <x:v>0</x:v>
      </x:c>
      <x:c r="M27" s="39" t="n">
        <x:f>0</x:f>
        <x:v>0</x:v>
      </x:c>
      <x:c r="N27" s="39" t="n">
        <x:f>0</x:f>
        <x:v>0</x:v>
      </x:c>
      <x:c r="O27" s="39" t="n">
        <x:f>0</x:f>
        <x:v>0</x:v>
      </x:c>
      <x:c r="P27" s="39" t="n">
        <x:f>0</x:f>
        <x:v>0</x:v>
      </x:c>
      <x:c r="Q27" s="39" t="n">
        <x:f>0</x:f>
        <x:v>0</x:v>
      </x:c>
      <x:c r="R27" s="3"/>
      <x:c r="S27" s="3"/>
    </x:row>
    <x:row r="28" ht="21" customHeight="1">
      <x:c r="A28" s="2"/>
      <x:c r="B28" s="2"/>
      <x:c r="C28" s="60" t="n">
        <x:f>C10</x:f>
        <x:v>2</x:v>
      </x:c>
      <x:c r="D28" s="3"/>
      <x:c r="E28" s="3"/>
      <x:c r="F28" s="39" t="n">
        <x:f>0</x:f>
        <x:v>0</x:v>
      </x:c>
      <x:c r="G28" s="39" t="n">
        <x:f>0</x:f>
        <x:v>0</x:v>
      </x:c>
      <x:c r="H28" s="39" t="n">
        <x:f>0</x:f>
        <x:v>0</x:v>
      </x:c>
      <x:c r="I28" s="40" t="n">
        <x:f>I10*$S10*'Unit economics'!$D$39</x:f>
        <x:v>0</x:v>
      </x:c>
      <x:c r="J28" s="39" t="n">
        <x:f>0</x:f>
        <x:v>0</x:v>
      </x:c>
      <x:c r="K28" s="39" t="n">
        <x:f>0</x:f>
        <x:v>0</x:v>
      </x:c>
      <x:c r="L28" s="39" t="n">
        <x:f>0</x:f>
        <x:v>0</x:v>
      </x:c>
      <x:c r="M28" s="39" t="n">
        <x:f>0</x:f>
        <x:v>0</x:v>
      </x:c>
      <x:c r="N28" s="39" t="n">
        <x:f>0</x:f>
        <x:v>0</x:v>
      </x:c>
      <x:c r="O28" s="39" t="n">
        <x:f>0</x:f>
        <x:v>0</x:v>
      </x:c>
      <x:c r="P28" s="39" t="n">
        <x:f>0</x:f>
        <x:v>0</x:v>
      </x:c>
      <x:c r="Q28" s="39" t="n">
        <x:f>0</x:f>
        <x:v>0</x:v>
      </x:c>
      <x:c r="R28" s="3"/>
      <x:c r="S28" s="3"/>
    </x:row>
    <x:row r="29" ht="21" customHeight="1">
      <x:c r="A29" s="2"/>
      <x:c r="B29" s="2"/>
      <x:c r="C29" s="60" t="n">
        <x:f>C11</x:f>
        <x:v>3</x:v>
      </x:c>
      <x:c r="D29" s="3"/>
      <x:c r="E29" s="3"/>
      <x:c r="F29" s="39" t="n">
        <x:f>0</x:f>
        <x:v>0</x:v>
      </x:c>
      <x:c r="G29" s="39" t="n">
        <x:f>0</x:f>
        <x:v>0</x:v>
      </x:c>
      <x:c r="H29" s="39" t="n">
        <x:f>0</x:f>
        <x:v>0</x:v>
      </x:c>
      <x:c r="I29" s="39" t="n">
        <x:f>0</x:f>
        <x:v>0</x:v>
      </x:c>
      <x:c r="J29" s="40" t="n">
        <x:f>J11*$S11*'Unit economics'!$D$39</x:f>
        <x:v>13094.999999999998</x:v>
      </x:c>
      <x:c r="K29" s="39" t="n">
        <x:f>0</x:f>
        <x:v>0</x:v>
      </x:c>
      <x:c r="L29" s="39" t="n">
        <x:f>0</x:f>
        <x:v>0</x:v>
      </x:c>
      <x:c r="M29" s="39" t="n">
        <x:f>0</x:f>
        <x:v>0</x:v>
      </x:c>
      <x:c r="N29" s="39" t="n">
        <x:f>0</x:f>
        <x:v>0</x:v>
      </x:c>
      <x:c r="O29" s="39" t="n">
        <x:f>0</x:f>
        <x:v>0</x:v>
      </x:c>
      <x:c r="P29" s="39" t="n">
        <x:f>0</x:f>
        <x:v>0</x:v>
      </x:c>
      <x:c r="Q29" s="39" t="n">
        <x:f>0</x:f>
        <x:v>0</x:v>
      </x:c>
      <x:c r="R29" s="3"/>
      <x:c r="S29" s="3"/>
    </x:row>
    <x:row r="30" ht="21" customHeight="1">
      <x:c r="A30" s="2"/>
      <x:c r="B30" s="2"/>
      <x:c r="C30" s="60" t="n">
        <x:f>C12</x:f>
        <x:v>4</x:v>
      </x:c>
      <x:c r="D30" s="3"/>
      <x:c r="E30" s="3"/>
      <x:c r="F30" s="39" t="n">
        <x:f>0</x:f>
        <x:v>0</x:v>
      </x:c>
      <x:c r="G30" s="39" t="n">
        <x:f>0</x:f>
        <x:v>0</x:v>
      </x:c>
      <x:c r="H30" s="39" t="n">
        <x:f>0</x:f>
        <x:v>0</x:v>
      </x:c>
      <x:c r="I30" s="39" t="n">
        <x:f>0</x:f>
        <x:v>0</x:v>
      </x:c>
      <x:c r="J30" s="39" t="n">
        <x:f>0</x:f>
        <x:v>0</x:v>
      </x:c>
      <x:c r="K30" s="40" t="n">
        <x:f>K12*$S12*'Unit economics'!$D$39</x:f>
        <x:v>0</x:v>
      </x:c>
      <x:c r="L30" s="39" t="n">
        <x:f>0</x:f>
        <x:v>0</x:v>
      </x:c>
      <x:c r="M30" s="39" t="n">
        <x:f>0</x:f>
        <x:v>0</x:v>
      </x:c>
      <x:c r="N30" s="39" t="n">
        <x:f>0</x:f>
        <x:v>0</x:v>
      </x:c>
      <x:c r="O30" s="39" t="n">
        <x:f>0</x:f>
        <x:v>0</x:v>
      </x:c>
      <x:c r="P30" s="39" t="n">
        <x:f>0</x:f>
        <x:v>0</x:v>
      </x:c>
      <x:c r="Q30" s="39" t="n">
        <x:f>0</x:f>
        <x:v>0</x:v>
      </x:c>
      <x:c r="R30" s="3"/>
      <x:c r="S30" s="3"/>
    </x:row>
    <x:row r="31" ht="21" customHeight="1">
      <x:c r="A31" s="2"/>
      <x:c r="B31" s="2"/>
      <x:c r="C31" s="60" t="n">
        <x:f>C13</x:f>
        <x:v>5</x:v>
      </x:c>
      <x:c r="D31" s="3"/>
      <x:c r="E31" s="3"/>
      <x:c r="F31" s="39" t="n">
        <x:f>0</x:f>
        <x:v>0</x:v>
      </x:c>
      <x:c r="G31" s="39" t="n">
        <x:f>0</x:f>
        <x:v>0</x:v>
      </x:c>
      <x:c r="H31" s="39" t="n">
        <x:f>0</x:f>
        <x:v>0</x:v>
      </x:c>
      <x:c r="I31" s="39" t="n">
        <x:f>0</x:f>
        <x:v>0</x:v>
      </x:c>
      <x:c r="J31" s="39" t="n">
        <x:f>0</x:f>
        <x:v>0</x:v>
      </x:c>
      <x:c r="K31" s="39" t="n">
        <x:f>0</x:f>
        <x:v>0</x:v>
      </x:c>
      <x:c r="L31" s="40" t="n">
        <x:f>L13*$S13*'Unit economics'!$D$39</x:f>
        <x:v>13094.999999999998</x:v>
      </x:c>
      <x:c r="M31" s="39" t="n">
        <x:f>0</x:f>
        <x:v>0</x:v>
      </x:c>
      <x:c r="N31" s="39" t="n">
        <x:f>0</x:f>
        <x:v>0</x:v>
      </x:c>
      <x:c r="O31" s="39" t="n">
        <x:f>0</x:f>
        <x:v>0</x:v>
      </x:c>
      <x:c r="P31" s="39" t="n">
        <x:f>0</x:f>
        <x:v>0</x:v>
      </x:c>
      <x:c r="Q31" s="39" t="n">
        <x:f>0</x:f>
        <x:v>0</x:v>
      </x:c>
      <x:c r="R31" s="3"/>
      <x:c r="S31" s="3"/>
    </x:row>
    <x:row r="32" ht="21" customHeight="1">
      <x:c r="A32" s="2"/>
      <x:c r="B32" s="2"/>
      <x:c r="C32" s="60" t="n">
        <x:f>C14</x:f>
        <x:v>6</x:v>
      </x:c>
      <x:c r="D32" s="3"/>
      <x:c r="E32" s="3"/>
      <x:c r="F32" s="39" t="n">
        <x:f>0</x:f>
        <x:v>0</x:v>
      </x:c>
      <x:c r="G32" s="39" t="n">
        <x:f>0</x:f>
        <x:v>0</x:v>
      </x:c>
      <x:c r="H32" s="39" t="n">
        <x:f>0</x:f>
        <x:v>0</x:v>
      </x:c>
      <x:c r="I32" s="39" t="n">
        <x:f>0</x:f>
        <x:v>0</x:v>
      </x:c>
      <x:c r="J32" s="39" t="n">
        <x:f>0</x:f>
        <x:v>0</x:v>
      </x:c>
      <x:c r="K32" s="39" t="n">
        <x:f>0</x:f>
        <x:v>0</x:v>
      </x:c>
      <x:c r="L32" s="39" t="n">
        <x:f>0</x:f>
        <x:v>0</x:v>
      </x:c>
      <x:c r="M32" s="40" t="n">
        <x:f>M14*$S14*'Unit economics'!$D$39</x:f>
        <x:v>5238</x:v>
      </x:c>
      <x:c r="N32" s="39" t="n">
        <x:f>0</x:f>
        <x:v>0</x:v>
      </x:c>
      <x:c r="O32" s="39" t="n">
        <x:f>0</x:f>
        <x:v>0</x:v>
      </x:c>
      <x:c r="P32" s="39" t="n">
        <x:f>0</x:f>
        <x:v>0</x:v>
      </x:c>
      <x:c r="Q32" s="39" t="n">
        <x:f>0</x:f>
        <x:v>0</x:v>
      </x:c>
      <x:c r="R32" s="3"/>
      <x:c r="S32" s="3"/>
    </x:row>
    <x:row r="33" ht="21" customHeight="1">
      <x:c r="A33" s="2"/>
      <x:c r="B33" s="2"/>
      <x:c r="C33" s="60" t="n">
        <x:f>C15</x:f>
        <x:v>7</x:v>
      </x:c>
      <x:c r="D33" s="3"/>
      <x:c r="E33" s="3"/>
      <x:c r="F33" s="39" t="n">
        <x:f>0</x:f>
        <x:v>0</x:v>
      </x:c>
      <x:c r="G33" s="39" t="n">
        <x:f>0</x:f>
        <x:v>0</x:v>
      </x:c>
      <x:c r="H33" s="39" t="n">
        <x:f>0</x:f>
        <x:v>0</x:v>
      </x:c>
      <x:c r="I33" s="39" t="n">
        <x:f>0</x:f>
        <x:v>0</x:v>
      </x:c>
      <x:c r="J33" s="39" t="n">
        <x:f>0</x:f>
        <x:v>0</x:v>
      </x:c>
      <x:c r="K33" s="39" t="n">
        <x:f>0</x:f>
        <x:v>0</x:v>
      </x:c>
      <x:c r="L33" s="39" t="n">
        <x:f>0</x:f>
        <x:v>0</x:v>
      </x:c>
      <x:c r="M33" s="39" t="n">
        <x:f>0</x:f>
        <x:v>0</x:v>
      </x:c>
      <x:c r="N33" s="40" t="n">
        <x:f>N15*$S15*'Unit economics'!$D$39</x:f>
        <x:v>7857</x:v>
      </x:c>
      <x:c r="O33" s="39" t="n">
        <x:f>0</x:f>
        <x:v>0</x:v>
      </x:c>
      <x:c r="P33" s="39" t="n">
        <x:f>0</x:f>
        <x:v>0</x:v>
      </x:c>
      <x:c r="Q33" s="39" t="n">
        <x:f>0</x:f>
        <x:v>0</x:v>
      </x:c>
      <x:c r="R33" s="3"/>
      <x:c r="S33" s="3"/>
    </x:row>
    <x:row r="34" ht="21" customHeight="1">
      <x:c r="A34" s="2"/>
      <x:c r="B34" s="2"/>
      <x:c r="C34" s="60" t="n">
        <x:f>C16</x:f>
        <x:v>8</x:v>
      </x:c>
      <x:c r="D34" s="3"/>
      <x:c r="E34" s="3"/>
      <x:c r="F34" s="39" t="n">
        <x:f>0</x:f>
        <x:v>0</x:v>
      </x:c>
      <x:c r="G34" s="39" t="n">
        <x:f>0</x:f>
        <x:v>0</x:v>
      </x:c>
      <x:c r="H34" s="39" t="n">
        <x:f>0</x:f>
        <x:v>0</x:v>
      </x:c>
      <x:c r="I34" s="39" t="n">
        <x:f>0</x:f>
        <x:v>0</x:v>
      </x:c>
      <x:c r="J34" s="39" t="n">
        <x:f>0</x:f>
        <x:v>0</x:v>
      </x:c>
      <x:c r="K34" s="39" t="n">
        <x:f>0</x:f>
        <x:v>0</x:v>
      </x:c>
      <x:c r="L34" s="39" t="n">
        <x:f>0</x:f>
        <x:v>0</x:v>
      </x:c>
      <x:c r="M34" s="39" t="n">
        <x:f>0</x:f>
        <x:v>0</x:v>
      </x:c>
      <x:c r="N34" s="39" t="n">
        <x:f>0</x:f>
        <x:v>0</x:v>
      </x:c>
      <x:c r="O34" s="40" t="n">
        <x:f>O16*$S16*'Unit economics'!$D$39</x:f>
        <x:v>10476</x:v>
      </x:c>
      <x:c r="P34" s="39" t="n">
        <x:f>0</x:f>
        <x:v>0</x:v>
      </x:c>
      <x:c r="Q34" s="39" t="n">
        <x:f>0</x:f>
        <x:v>0</x:v>
      </x:c>
      <x:c r="R34" s="3"/>
      <x:c r="S34" s="3"/>
    </x:row>
    <x:row r="35" ht="21" customHeight="1">
      <x:c r="A35" s="2"/>
      <x:c r="B35" s="2"/>
      <x:c r="C35" s="60" t="n">
        <x:f>C17</x:f>
        <x:v>9</x:v>
      </x:c>
      <x:c r="D35" s="3"/>
      <x:c r="E35" s="3"/>
      <x:c r="F35" s="39" t="n">
        <x:f>0</x:f>
        <x:v>0</x:v>
      </x:c>
      <x:c r="G35" s="39" t="n">
        <x:f>0</x:f>
        <x:v>0</x:v>
      </x:c>
      <x:c r="H35" s="39" t="n">
        <x:f>0</x:f>
        <x:v>0</x:v>
      </x:c>
      <x:c r="I35" s="39" t="n">
        <x:f>0</x:f>
        <x:v>0</x:v>
      </x:c>
      <x:c r="J35" s="39" t="n">
        <x:f>0</x:f>
        <x:v>0</x:v>
      </x:c>
      <x:c r="K35" s="39" t="n">
        <x:f>0</x:f>
        <x:v>0</x:v>
      </x:c>
      <x:c r="L35" s="39" t="n">
        <x:f>0</x:f>
        <x:v>0</x:v>
      </x:c>
      <x:c r="M35" s="39" t="n">
        <x:f>0</x:f>
        <x:v>0</x:v>
      </x:c>
      <x:c r="N35" s="39" t="n">
        <x:f>0</x:f>
        <x:v>0</x:v>
      </x:c>
      <x:c r="O35" s="39" t="n">
        <x:f>0</x:f>
        <x:v>0</x:v>
      </x:c>
      <x:c r="P35" s="40" t="n">
        <x:f>P17*$S17*'Unit economics'!$D$39</x:f>
        <x:v>10476</x:v>
      </x:c>
      <x:c r="Q35" s="39" t="n">
        <x:f>0</x:f>
        <x:v>0</x:v>
      </x:c>
      <x:c r="R35" s="3"/>
      <x:c r="S35" s="3"/>
    </x:row>
    <x:row r="36" ht="21" customHeight="1">
      <x:c r="A36" s="2"/>
      <x:c r="B36" s="2"/>
      <x:c r="C36" s="60" t="n">
        <x:f>C18</x:f>
        <x:v>10</x:v>
      </x:c>
      <x:c r="D36" s="3"/>
      <x:c r="E36" s="3"/>
      <x:c r="F36" s="39" t="n">
        <x:f>0</x:f>
        <x:v>0</x:v>
      </x:c>
      <x:c r="G36" s="39" t="n">
        <x:f>0</x:f>
        <x:v>0</x:v>
      </x:c>
      <x:c r="H36" s="39" t="n">
        <x:f>0</x:f>
        <x:v>0</x:v>
      </x:c>
      <x:c r="I36" s="39" t="n">
        <x:f>0</x:f>
        <x:v>0</x:v>
      </x:c>
      <x:c r="J36" s="39" t="n">
        <x:f>0</x:f>
        <x:v>0</x:v>
      </x:c>
      <x:c r="K36" s="39" t="n">
        <x:f>0</x:f>
        <x:v>0</x:v>
      </x:c>
      <x:c r="L36" s="39" t="n">
        <x:f>0</x:f>
        <x:v>0</x:v>
      </x:c>
      <x:c r="M36" s="39" t="n">
        <x:f>0</x:f>
        <x:v>0</x:v>
      </x:c>
      <x:c r="N36" s="39" t="n">
        <x:f>0</x:f>
        <x:v>0</x:v>
      </x:c>
      <x:c r="O36" s="39" t="n">
        <x:f>0</x:f>
        <x:v>0</x:v>
      </x:c>
      <x:c r="P36" s="39" t="n">
        <x:f>0</x:f>
        <x:v>0</x:v>
      </x:c>
      <x:c r="Q36" s="40" t="n">
        <x:f>Q18*$S18*'Unit economics'!$D$39</x:f>
        <x:v>10476</x:v>
      </x:c>
      <x:c r="R36" s="3"/>
      <x:c r="S36" s="3"/>
    </x:row>
    <x:row r="37" ht="21" customHeight="1">
      <x:c r="A37" s="2"/>
      <x:c r="B37" s="2"/>
      <x:c r="C37" s="60" t="n">
        <x:f>C19</x:f>
        <x:v>11</x:v>
      </x:c>
      <x:c r="D37" s="3"/>
      <x:c r="E37" s="3"/>
      <x:c r="F37" s="39" t="n">
        <x:f>0</x:f>
        <x:v>0</x:v>
      </x:c>
      <x:c r="G37" s="39" t="n">
        <x:f>0</x:f>
        <x:v>0</x:v>
      </x:c>
      <x:c r="H37" s="39" t="n">
        <x:f>0</x:f>
        <x:v>0</x:v>
      </x:c>
      <x:c r="I37" s="39" t="n">
        <x:f>0</x:f>
        <x:v>0</x:v>
      </x:c>
      <x:c r="J37" s="39" t="n">
        <x:f>0</x:f>
        <x:v>0</x:v>
      </x:c>
      <x:c r="K37" s="39" t="n">
        <x:f>0</x:f>
        <x:v>0</x:v>
      </x:c>
      <x:c r="L37" s="39" t="n">
        <x:f>0</x:f>
        <x:v>0</x:v>
      </x:c>
      <x:c r="M37" s="39" t="n">
        <x:f>0</x:f>
        <x:v>0</x:v>
      </x:c>
      <x:c r="N37" s="39" t="n">
        <x:f>0</x:f>
        <x:v>0</x:v>
      </x:c>
      <x:c r="O37" s="39" t="n">
        <x:f>0</x:f>
        <x:v>0</x:v>
      </x:c>
      <x:c r="P37" s="39" t="n">
        <x:f>0</x:f>
        <x:v>0</x:v>
      </x:c>
      <x:c r="Q37" s="39" t="n">
        <x:f>0</x:f>
        <x:v>0</x:v>
      </x:c>
      <x:c r="R37" s="3"/>
      <x:c r="S37" s="3"/>
    </x:row>
    <x:row r="38" ht="21" customHeight="1">
      <x:c r="A38" s="2"/>
      <x:c r="B38" s="2"/>
      <x:c r="C38" s="60" t="n">
        <x:f>C20</x:f>
        <x:v>12</x:v>
      </x:c>
      <x:c r="D38" s="3"/>
      <x:c r="E38" s="3"/>
      <x:c r="F38" s="39" t="n">
        <x:f>0</x:f>
        <x:v>0</x:v>
      </x:c>
      <x:c r="G38" s="39" t="n">
        <x:f>0</x:f>
        <x:v>0</x:v>
      </x:c>
      <x:c r="H38" s="39" t="n">
        <x:f>0</x:f>
        <x:v>0</x:v>
      </x:c>
      <x:c r="I38" s="39" t="n">
        <x:f>0</x:f>
        <x:v>0</x:v>
      </x:c>
      <x:c r="J38" s="39" t="n">
        <x:f>0</x:f>
        <x:v>0</x:v>
      </x:c>
      <x:c r="K38" s="39" t="n">
        <x:f>0</x:f>
        <x:v>0</x:v>
      </x:c>
      <x:c r="L38" s="39" t="n">
        <x:f>0</x:f>
        <x:v>0</x:v>
      </x:c>
      <x:c r="M38" s="39" t="n">
        <x:f>0</x:f>
        <x:v>0</x:v>
      </x:c>
      <x:c r="N38" s="39" t="n">
        <x:f>0</x:f>
        <x:v>0</x:v>
      </x:c>
      <x:c r="O38" s="39" t="n">
        <x:f>0</x:f>
        <x:v>0</x:v>
      </x:c>
      <x:c r="P38" s="39" t="n">
        <x:f>0</x:f>
        <x:v>0</x:v>
      </x:c>
      <x:c r="Q38" s="39" t="n">
        <x:f>0</x:f>
        <x:v>0</x:v>
      </x:c>
      <x:c r="R38" s="3"/>
      <x:c r="S38" s="3"/>
    </x:row>
    <x:row r="39" ht="21" customHeight="1">
      <x:c r="A39" s="2"/>
      <x:c r="B39" s="2"/>
      <x:c r="C39" s="2" t="str">
        <x:v>Monthly total</x:v>
      </x:c>
      <x:c r="D39" s="3"/>
      <x:c r="E39" s="3"/>
      <x:c r="F39" s="39" t="n">
        <x:f>SUM(F27:F38)</x:f>
        <x:v>0</x:v>
      </x:c>
      <x:c r="G39" s="39" t="n">
        <x:f>SUM(G27:G38)</x:f>
        <x:v>0</x:v>
      </x:c>
      <x:c r="H39" s="39" t="n">
        <x:f>SUM(H27:H38)</x:f>
        <x:v>0</x:v>
      </x:c>
      <x:c r="I39" s="39" t="n">
        <x:f>SUM(I27:I38)</x:f>
        <x:v>0</x:v>
      </x:c>
      <x:c r="J39" s="39" t="n">
        <x:f>SUM(J27:J38)</x:f>
        <x:v>13094.999999999998</x:v>
      </x:c>
      <x:c r="K39" s="39" t="n">
        <x:f>SUM(K27:K38)</x:f>
        <x:v>0</x:v>
      </x:c>
      <x:c r="L39" s="39" t="n">
        <x:f>SUM(L27:L38)</x:f>
        <x:v>13094.999999999998</x:v>
      </x:c>
      <x:c r="M39" s="39" t="n">
        <x:f>SUM(M27:M38)</x:f>
        <x:v>5238</x:v>
      </x:c>
      <x:c r="N39" s="39" t="n">
        <x:f>SUM(N27:N38)</x:f>
        <x:v>7857</x:v>
      </x:c>
      <x:c r="O39" s="39" t="n">
        <x:f>SUM(O27:O38)</x:f>
        <x:v>10476</x:v>
      </x:c>
      <x:c r="P39" s="39" t="n">
        <x:f>SUM(P27:P38)</x:f>
        <x:v>10476</x:v>
      </x:c>
      <x:c r="Q39" s="39" t="n">
        <x:f>SUM(Q27:Q38)</x:f>
        <x:v>10476</x:v>
      </x:c>
      <x:c r="R39" s="3"/>
      <x:c r="S39" s="3"/>
    </x:row>
    <x:row r="40" ht="21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 ht="21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 ht="21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 ht="21" customHeight="1">
      <x:c r="A43" s="2"/>
      <x:c r="B43" s="2"/>
      <x:c r="C43" s="24" t="str">
        <x:v>Monthly installment collections</x:v>
      </x:c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3"/>
      <x:c r="S43" s="3"/>
    </x:row>
    <x:row r="44" ht="21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 ht="21" customHeight="1">
      <x:c r="A45" s="2"/>
      <x:c r="B45" s="2"/>
      <x:c r="C45" s="60" t="n">
        <x:f>C9</x:f>
        <x:v>1</x:v>
      </x:c>
      <x:c r="D45" s="3"/>
      <x:c r="E45" s="3"/>
      <x:c r="F45" s="40" t="n">
        <x:f>F9*(1-$S9)*'Unit economics'!$D$41</x:f>
        <x:v>0</x:v>
      </x:c>
      <x:c r="G45" s="40" t="n">
        <x:f>G9*(1-$S9)*'Unit economics'!$D$41</x:f>
        <x:v>0</x:v>
      </x:c>
      <x:c r="H45" s="40" t="n">
        <x:f>H9*(1-$S9)*'Unit economics'!$D$41</x:f>
        <x:v>0</x:v>
      </x:c>
      <x:c r="I45" s="40" t="n">
        <x:f>I9*(1-$S9)*'Unit economics'!$D$41</x:f>
        <x:v>0</x:v>
      </x:c>
      <x:c r="J45" s="40" t="n">
        <x:f>J9*(1-$S9)*'Unit economics'!$D$41</x:f>
        <x:v>0</x:v>
      </x:c>
      <x:c r="K45" s="40" t="n">
        <x:f>K9*(1-$S9)*'Unit economics'!$D$41</x:f>
        <x:v>0</x:v>
      </x:c>
      <x:c r="L45" s="40" t="n">
        <x:f>L9*(1-$S9)*'Unit economics'!$D$41</x:f>
        <x:v>0</x:v>
      </x:c>
      <x:c r="M45" s="40" t="n">
        <x:f>M9*(1-$S9)*'Unit economics'!$D$41</x:f>
        <x:v>0</x:v>
      </x:c>
      <x:c r="N45" s="40" t="n">
        <x:f>N9*(1-$S9)*'Unit economics'!$D$41</x:f>
        <x:v>0</x:v>
      </x:c>
      <x:c r="O45" s="40" t="n">
        <x:f>O9*(1-$S9)*'Unit economics'!$D$41</x:f>
        <x:v>0</x:v>
      </x:c>
      <x:c r="P45" s="40" t="n">
        <x:f>P9*(1-$S9)*'Unit economics'!$D$41</x:f>
        <x:v>0</x:v>
      </x:c>
      <x:c r="Q45" s="40" t="n">
        <x:f>Q9*(1-$S9)*'Unit economics'!$D$41</x:f>
        <x:v>0</x:v>
      </x:c>
      <x:c r="R45" s="3"/>
      <x:c r="S45" s="3"/>
    </x:row>
    <x:row r="46" ht="21" customHeight="1">
      <x:c r="A46" s="2"/>
      <x:c r="B46" s="2"/>
      <x:c r="C46" s="60" t="n">
        <x:f>C10</x:f>
        <x:v>2</x:v>
      </x:c>
      <x:c r="D46" s="3"/>
      <x:c r="E46" s="3"/>
      <x:c r="F46" s="40" t="n">
        <x:f>F10*(1-$S10)*'Unit economics'!$D$41</x:f>
        <x:v>0</x:v>
      </x:c>
      <x:c r="G46" s="40" t="n">
        <x:f>G10*(1-$S10)*'Unit economics'!$D$41</x:f>
        <x:v>0</x:v>
      </x:c>
      <x:c r="H46" s="40" t="n">
        <x:f>H10*(1-$S10)*'Unit economics'!$D$41</x:f>
        <x:v>0</x:v>
      </x:c>
      <x:c r="I46" s="40" t="n">
        <x:f>I10*(1-$S10)*'Unit economics'!$D$41</x:f>
        <x:v>0</x:v>
      </x:c>
      <x:c r="J46" s="40" t="n">
        <x:f>J10*(1-$S10)*'Unit economics'!$D$41</x:f>
        <x:v>0</x:v>
      </x:c>
      <x:c r="K46" s="40" t="n">
        <x:f>K10*(1-$S10)*'Unit economics'!$D$41</x:f>
        <x:v>0</x:v>
      </x:c>
      <x:c r="L46" s="40" t="n">
        <x:f>L10*(1-$S10)*'Unit economics'!$D$41</x:f>
        <x:v>0</x:v>
      </x:c>
      <x:c r="M46" s="40" t="n">
        <x:f>M10*(1-$S10)*'Unit economics'!$D$41</x:f>
        <x:v>0</x:v>
      </x:c>
      <x:c r="N46" s="40" t="n">
        <x:f>N10*(1-$S10)*'Unit economics'!$D$41</x:f>
        <x:v>0</x:v>
      </x:c>
      <x:c r="O46" s="40" t="n">
        <x:f>O10*(1-$S10)*'Unit economics'!$D$41</x:f>
        <x:v>0</x:v>
      </x:c>
      <x:c r="P46" s="40" t="n">
        <x:f>P10*(1-$S10)*'Unit economics'!$D$41</x:f>
        <x:v>0</x:v>
      </x:c>
      <x:c r="Q46" s="40" t="n">
        <x:f>Q10*(1-$S10)*'Unit economics'!$D$41</x:f>
        <x:v>0</x:v>
      </x:c>
      <x:c r="R46" s="3"/>
      <x:c r="S46" s="3"/>
    </x:row>
    <x:row r="47" ht="21" customHeight="1">
      <x:c r="A47" s="2"/>
      <x:c r="B47" s="2"/>
      <x:c r="C47" s="60" t="n">
        <x:f>C11</x:f>
        <x:v>3</x:v>
      </x:c>
      <x:c r="D47" s="3"/>
      <x:c r="E47" s="3"/>
      <x:c r="F47" s="40" t="n">
        <x:f>F11*(1-$S11)*'Unit economics'!$D$41</x:f>
        <x:v>0</x:v>
      </x:c>
      <x:c r="G47" s="40" t="n">
        <x:f>G11*(1-$S11)*'Unit economics'!$D$41</x:f>
        <x:v>0</x:v>
      </x:c>
      <x:c r="H47" s="40" t="n">
        <x:f>H11*(1-$S11)*'Unit economics'!$D$41</x:f>
        <x:v>0</x:v>
      </x:c>
      <x:c r="I47" s="40" t="n">
        <x:f>I11*(1-$S11)*'Unit economics'!$D$41</x:f>
        <x:v>0</x:v>
      </x:c>
      <x:c r="J47" s="40" t="n">
        <x:f>J11*(1-$S11)*'Unit economics'!$D$41</x:f>
        <x:v>1309.4999999999998</x:v>
      </x:c>
      <x:c r="K47" s="40" t="n">
        <x:f>K11*(1-$S11)*'Unit economics'!$D$41</x:f>
        <x:v>1296.4049999999997</x:v>
      </x:c>
      <x:c r="L47" s="40" t="n">
        <x:f>L11*(1-$S11)*'Unit economics'!$D$41</x:f>
        <x:v>1283.44095</x:v>
      </x:c>
      <x:c r="M47" s="40" t="n">
        <x:f>M11*(1-$S11)*'Unit economics'!$D$41</x:f>
        <x:v>1270.6065404999997</x:v>
      </x:c>
      <x:c r="N47" s="40" t="n">
        <x:f>N11*(1-$S11)*'Unit economics'!$D$41</x:f>
        <x:v>1257.9004750949998</x:v>
      </x:c>
      <x:c r="O47" s="40" t="n">
        <x:f>O11*(1-$S11)*'Unit economics'!$D$41</x:f>
        <x:v>1245.3214703440499</x:v>
      </x:c>
      <x:c r="P47" s="40" t="n">
        <x:f>P11*(1-$S11)*'Unit economics'!$D$41</x:f>
        <x:v>1232.8682556406093</x:v>
      </x:c>
      <x:c r="Q47" s="40" t="n">
        <x:f>Q11*(1-$S11)*'Unit economics'!$D$41</x:f>
        <x:v>1220.5395730842033</x:v>
      </x:c>
      <x:c r="R47" s="3"/>
      <x:c r="S47" s="3"/>
    </x:row>
    <x:row r="48" ht="21" customHeight="1">
      <x:c r="A48" s="2"/>
      <x:c r="B48" s="2"/>
      <x:c r="C48" s="60" t="n">
        <x:f>C12</x:f>
        <x:v>4</x:v>
      </x:c>
      <x:c r="D48" s="3"/>
      <x:c r="E48" s="3"/>
      <x:c r="F48" s="40" t="n">
        <x:f>F12*(1-$S12)*'Unit economics'!$D$41</x:f>
        <x:v>0</x:v>
      </x:c>
      <x:c r="G48" s="40" t="n">
        <x:f>G12*(1-$S12)*'Unit economics'!$D$41</x:f>
        <x:v>0</x:v>
      </x:c>
      <x:c r="H48" s="40" t="n">
        <x:f>H12*(1-$S12)*'Unit economics'!$D$41</x:f>
        <x:v>0</x:v>
      </x:c>
      <x:c r="I48" s="40" t="n">
        <x:f>I12*(1-$S12)*'Unit economics'!$D$41</x:f>
        <x:v>0</x:v>
      </x:c>
      <x:c r="J48" s="40" t="n">
        <x:f>J12*(1-$S12)*'Unit economics'!$D$41</x:f>
        <x:v>0</x:v>
      </x:c>
      <x:c r="K48" s="40" t="n">
        <x:f>K12*(1-$S12)*'Unit economics'!$D$41</x:f>
        <x:v>0</x:v>
      </x:c>
      <x:c r="L48" s="40" t="n">
        <x:f>L12*(1-$S12)*'Unit economics'!$D$41</x:f>
        <x:v>0</x:v>
      </x:c>
      <x:c r="M48" s="40" t="n">
        <x:f>M12*(1-$S12)*'Unit economics'!$D$41</x:f>
        <x:v>0</x:v>
      </x:c>
      <x:c r="N48" s="40" t="n">
        <x:f>N12*(1-$S12)*'Unit economics'!$D$41</x:f>
        <x:v>0</x:v>
      </x:c>
      <x:c r="O48" s="40" t="n">
        <x:f>O12*(1-$S12)*'Unit economics'!$D$41</x:f>
        <x:v>0</x:v>
      </x:c>
      <x:c r="P48" s="40" t="n">
        <x:f>P12*(1-$S12)*'Unit economics'!$D$41</x:f>
        <x:v>0</x:v>
      </x:c>
      <x:c r="Q48" s="40" t="n">
        <x:f>Q12*(1-$S12)*'Unit economics'!$D$41</x:f>
        <x:v>0</x:v>
      </x:c>
      <x:c r="R48" s="3"/>
      <x:c r="S48" s="3"/>
    </x:row>
    <x:row r="49" ht="21" customHeight="1">
      <x:c r="A49" s="2"/>
      <x:c r="B49" s="2"/>
      <x:c r="C49" s="60" t="n">
        <x:f>C13</x:f>
        <x:v>5</x:v>
      </x:c>
      <x:c r="D49" s="3"/>
      <x:c r="E49" s="3"/>
      <x:c r="F49" s="40" t="n">
        <x:f>F13*(1-$S13)*'Unit economics'!$D$41</x:f>
        <x:v>0</x:v>
      </x:c>
      <x:c r="G49" s="40" t="n">
        <x:f>G13*(1-$S13)*'Unit economics'!$D$41</x:f>
        <x:v>0</x:v>
      </x:c>
      <x:c r="H49" s="40" t="n">
        <x:f>H13*(1-$S13)*'Unit economics'!$D$41</x:f>
        <x:v>0</x:v>
      </x:c>
      <x:c r="I49" s="40" t="n">
        <x:f>I13*(1-$S13)*'Unit economics'!$D$41</x:f>
        <x:v>0</x:v>
      </x:c>
      <x:c r="J49" s="40" t="n">
        <x:f>J13*(1-$S13)*'Unit economics'!$D$41</x:f>
        <x:v>0</x:v>
      </x:c>
      <x:c r="K49" s="40" t="n">
        <x:f>K13*(1-$S13)*'Unit economics'!$D$41</x:f>
        <x:v>0</x:v>
      </x:c>
      <x:c r="L49" s="40" t="n">
        <x:f>L13*(1-$S13)*'Unit economics'!$D$41</x:f>
        <x:v>1309.4999999999998</x:v>
      </x:c>
      <x:c r="M49" s="40" t="n">
        <x:f>M13*(1-$S13)*'Unit economics'!$D$41</x:f>
        <x:v>1296.4049999999997</x:v>
      </x:c>
      <x:c r="N49" s="40" t="n">
        <x:f>N13*(1-$S13)*'Unit economics'!$D$41</x:f>
        <x:v>1283.44095</x:v>
      </x:c>
      <x:c r="O49" s="40" t="n">
        <x:f>O13*(1-$S13)*'Unit economics'!$D$41</x:f>
        <x:v>1270.6065404999997</x:v>
      </x:c>
      <x:c r="P49" s="40" t="n">
        <x:f>P13*(1-$S13)*'Unit economics'!$D$41</x:f>
        <x:v>1257.9004750949998</x:v>
      </x:c>
      <x:c r="Q49" s="40" t="n">
        <x:f>Q13*(1-$S13)*'Unit economics'!$D$41</x:f>
        <x:v>1245.3214703440499</x:v>
      </x:c>
      <x:c r="R49" s="3"/>
      <x:c r="S49" s="3"/>
    </x:row>
    <x:row r="50" ht="21" customHeight="1">
      <x:c r="A50" s="2"/>
      <x:c r="B50" s="2"/>
      <x:c r="C50" s="60" t="n">
        <x:f>C14</x:f>
        <x:v>6</x:v>
      </x:c>
      <x:c r="D50" s="3"/>
      <x:c r="E50" s="3"/>
      <x:c r="F50" s="40" t="n">
        <x:f>F14*(1-$S14)*'Unit economics'!$D$41</x:f>
        <x:v>0</x:v>
      </x:c>
      <x:c r="G50" s="40" t="n">
        <x:f>G14*(1-$S14)*'Unit economics'!$D$41</x:f>
        <x:v>0</x:v>
      </x:c>
      <x:c r="H50" s="40" t="n">
        <x:f>H14*(1-$S14)*'Unit economics'!$D$41</x:f>
        <x:v>0</x:v>
      </x:c>
      <x:c r="I50" s="40" t="n">
        <x:f>I14*(1-$S14)*'Unit economics'!$D$41</x:f>
        <x:v>0</x:v>
      </x:c>
      <x:c r="J50" s="40" t="n">
        <x:f>J14*(1-$S14)*'Unit economics'!$D$41</x:f>
        <x:v>0</x:v>
      </x:c>
      <x:c r="K50" s="40" t="n">
        <x:f>K14*(1-$S14)*'Unit economics'!$D$41</x:f>
        <x:v>0</x:v>
      </x:c>
      <x:c r="L50" s="40" t="n">
        <x:f>L14*(1-$S14)*'Unit economics'!$D$41</x:f>
        <x:v>0</x:v>
      </x:c>
      <x:c r="M50" s="40" t="n">
        <x:f>M14*(1-$S14)*'Unit economics'!$D$41</x:f>
        <x:v>523.8</x:v>
      </x:c>
      <x:c r="N50" s="40" t="n">
        <x:f>N14*(1-$S14)*'Unit economics'!$D$41</x:f>
        <x:v>518.5619999999999</x:v>
      </x:c>
      <x:c r="O50" s="40" t="n">
        <x:f>O14*(1-$S14)*'Unit economics'!$D$41</x:f>
        <x:v>513.3763799999999</x:v>
      </x:c>
      <x:c r="P50" s="40" t="n">
        <x:f>P14*(1-$S14)*'Unit economics'!$D$41</x:f>
        <x:v>508.2426161999999</x:v>
      </x:c>
      <x:c r="Q50" s="40" t="n">
        <x:f>Q14*(1-$S14)*'Unit economics'!$D$41</x:f>
        <x:v>503.1601900379999</x:v>
      </x:c>
      <x:c r="R50" s="3"/>
      <x:c r="S50" s="3"/>
    </x:row>
    <x:row r="51" ht="21" customHeight="1">
      <x:c r="A51" s="2"/>
      <x:c r="B51" s="2"/>
      <x:c r="C51" s="60" t="n">
        <x:f>C15</x:f>
        <x:v>7</x:v>
      </x:c>
      <x:c r="D51" s="3"/>
      <x:c r="E51" s="3"/>
      <x:c r="F51" s="40" t="n">
        <x:f>F15*(1-$S15)*'Unit economics'!$D$41</x:f>
        <x:v>0</x:v>
      </x:c>
      <x:c r="G51" s="40" t="n">
        <x:f>G15*(1-$S15)*'Unit economics'!$D$41</x:f>
        <x:v>0</x:v>
      </x:c>
      <x:c r="H51" s="40" t="n">
        <x:f>H15*(1-$S15)*'Unit economics'!$D$41</x:f>
        <x:v>0</x:v>
      </x:c>
      <x:c r="I51" s="40" t="n">
        <x:f>I15*(1-$S15)*'Unit economics'!$D$41</x:f>
        <x:v>0</x:v>
      </x:c>
      <x:c r="J51" s="40" t="n">
        <x:f>J15*(1-$S15)*'Unit economics'!$D$41</x:f>
        <x:v>0</x:v>
      </x:c>
      <x:c r="K51" s="40" t="n">
        <x:f>K15*(1-$S15)*'Unit economics'!$D$41</x:f>
        <x:v>0</x:v>
      </x:c>
      <x:c r="L51" s="40" t="n">
        <x:f>L15*(1-$S15)*'Unit economics'!$D$41</x:f>
        <x:v>0</x:v>
      </x:c>
      <x:c r="M51" s="40" t="n">
        <x:f>M15*(1-$S15)*'Unit economics'!$D$41</x:f>
        <x:v>0</x:v>
      </x:c>
      <x:c r="N51" s="40" t="n">
        <x:f>N15*(1-$S15)*'Unit economics'!$D$41</x:f>
        <x:v>785.7</x:v>
      </x:c>
      <x:c r="O51" s="40" t="n">
        <x:f>O15*(1-$S15)*'Unit economics'!$D$41</x:f>
        <x:v>777.843</x:v>
      </x:c>
      <x:c r="P51" s="40" t="n">
        <x:f>P15*(1-$S15)*'Unit economics'!$D$41</x:f>
        <x:v>770.06457</x:v>
      </x:c>
      <x:c r="Q51" s="40" t="n">
        <x:f>Q15*(1-$S15)*'Unit economics'!$D$41</x:f>
        <x:v>762.3639242999999</x:v>
      </x:c>
      <x:c r="R51" s="3"/>
      <x:c r="S51" s="3"/>
    </x:row>
    <x:row r="52" ht="21" customHeight="1">
      <x:c r="A52" s="2"/>
      <x:c r="B52" s="2"/>
      <x:c r="C52" s="60" t="n">
        <x:f>C16</x:f>
        <x:v>8</x:v>
      </x:c>
      <x:c r="D52" s="3"/>
      <x:c r="E52" s="3"/>
      <x:c r="F52" s="40" t="n">
        <x:f>F16*(1-$S16)*'Unit economics'!$D$41</x:f>
        <x:v>0</x:v>
      </x:c>
      <x:c r="G52" s="40" t="n">
        <x:f>G16*(1-$S16)*'Unit economics'!$D$41</x:f>
        <x:v>0</x:v>
      </x:c>
      <x:c r="H52" s="40" t="n">
        <x:f>H16*(1-$S16)*'Unit economics'!$D$41</x:f>
        <x:v>0</x:v>
      </x:c>
      <x:c r="I52" s="40" t="n">
        <x:f>I16*(1-$S16)*'Unit economics'!$D$41</x:f>
        <x:v>0</x:v>
      </x:c>
      <x:c r="J52" s="40" t="n">
        <x:f>J16*(1-$S16)*'Unit economics'!$D$41</x:f>
        <x:v>0</x:v>
      </x:c>
      <x:c r="K52" s="40" t="n">
        <x:f>K16*(1-$S16)*'Unit economics'!$D$41</x:f>
        <x:v>0</x:v>
      </x:c>
      <x:c r="L52" s="40" t="n">
        <x:f>L16*(1-$S16)*'Unit economics'!$D$41</x:f>
        <x:v>0</x:v>
      </x:c>
      <x:c r="M52" s="40" t="n">
        <x:f>M16*(1-$S16)*'Unit economics'!$D$41</x:f>
        <x:v>0</x:v>
      </x:c>
      <x:c r="N52" s="40" t="n">
        <x:f>N16*(1-$S16)*'Unit economics'!$D$41</x:f>
        <x:v>0</x:v>
      </x:c>
      <x:c r="O52" s="40" t="n">
        <x:f>O16*(1-$S16)*'Unit economics'!$D$41</x:f>
        <x:v>1047.6</x:v>
      </x:c>
      <x:c r="P52" s="40" t="n">
        <x:f>P16*(1-$S16)*'Unit economics'!$D$41</x:f>
        <x:v>1037.1239999999998</x:v>
      </x:c>
      <x:c r="Q52" s="40" t="n">
        <x:f>Q16*(1-$S16)*'Unit economics'!$D$41</x:f>
        <x:v>1026.7527599999999</x:v>
      </x:c>
      <x:c r="R52" s="3"/>
      <x:c r="S52" s="3"/>
    </x:row>
    <x:row r="53" ht="21" customHeight="1">
      <x:c r="A53" s="2"/>
      <x:c r="B53" s="2"/>
      <x:c r="C53" s="60" t="n">
        <x:f>C17</x:f>
        <x:v>9</x:v>
      </x:c>
      <x:c r="D53" s="3"/>
      <x:c r="E53" s="3"/>
      <x:c r="F53" s="40" t="n">
        <x:f>F17*(1-$S17)*'Unit economics'!$D$41</x:f>
        <x:v>0</x:v>
      </x:c>
      <x:c r="G53" s="40" t="n">
        <x:f>G17*(1-$S17)*'Unit economics'!$D$41</x:f>
        <x:v>0</x:v>
      </x:c>
      <x:c r="H53" s="40" t="n">
        <x:f>H17*(1-$S17)*'Unit economics'!$D$41</x:f>
        <x:v>0</x:v>
      </x:c>
      <x:c r="I53" s="40" t="n">
        <x:f>I17*(1-$S17)*'Unit economics'!$D$41</x:f>
        <x:v>0</x:v>
      </x:c>
      <x:c r="J53" s="40" t="n">
        <x:f>J17*(1-$S17)*'Unit economics'!$D$41</x:f>
        <x:v>0</x:v>
      </x:c>
      <x:c r="K53" s="40" t="n">
        <x:f>K17*(1-$S17)*'Unit economics'!$D$41</x:f>
        <x:v>0</x:v>
      </x:c>
      <x:c r="L53" s="40" t="n">
        <x:f>L17*(1-$S17)*'Unit economics'!$D$41</x:f>
        <x:v>0</x:v>
      </x:c>
      <x:c r="M53" s="40" t="n">
        <x:f>M17*(1-$S17)*'Unit economics'!$D$41</x:f>
        <x:v>0</x:v>
      </x:c>
      <x:c r="N53" s="40" t="n">
        <x:f>N17*(1-$S17)*'Unit economics'!$D$41</x:f>
        <x:v>0</x:v>
      </x:c>
      <x:c r="O53" s="40" t="n">
        <x:f>O17*(1-$S17)*'Unit economics'!$D$41</x:f>
        <x:v>0</x:v>
      </x:c>
      <x:c r="P53" s="40" t="n">
        <x:f>P17*(1-$S17)*'Unit economics'!$D$41</x:f>
        <x:v>1047.6</x:v>
      </x:c>
      <x:c r="Q53" s="40" t="n">
        <x:f>Q17*(1-$S17)*'Unit economics'!$D$41</x:f>
        <x:v>1037.1239999999998</x:v>
      </x:c>
      <x:c r="R53" s="3"/>
      <x:c r="S53" s="3"/>
    </x:row>
    <x:row r="54" ht="21" customHeight="1">
      <x:c r="A54" s="2"/>
      <x:c r="B54" s="2"/>
      <x:c r="C54" s="60" t="n">
        <x:f>C18</x:f>
        <x:v>10</x:v>
      </x:c>
      <x:c r="D54" s="3"/>
      <x:c r="E54" s="3"/>
      <x:c r="F54" s="40" t="n">
        <x:f>F18*(1-$S18)*'Unit economics'!$D$41</x:f>
        <x:v>0</x:v>
      </x:c>
      <x:c r="G54" s="40" t="n">
        <x:f>G18*(1-$S18)*'Unit economics'!$D$41</x:f>
        <x:v>0</x:v>
      </x:c>
      <x:c r="H54" s="40" t="n">
        <x:f>H18*(1-$S18)*'Unit economics'!$D$41</x:f>
        <x:v>0</x:v>
      </x:c>
      <x:c r="I54" s="40" t="n">
        <x:f>I18*(1-$S18)*'Unit economics'!$D$41</x:f>
        <x:v>0</x:v>
      </x:c>
      <x:c r="J54" s="40" t="n">
        <x:f>J18*(1-$S18)*'Unit economics'!$D$41</x:f>
        <x:v>0</x:v>
      </x:c>
      <x:c r="K54" s="40" t="n">
        <x:f>K18*(1-$S18)*'Unit economics'!$D$41</x:f>
        <x:v>0</x:v>
      </x:c>
      <x:c r="L54" s="40" t="n">
        <x:f>L18*(1-$S18)*'Unit economics'!$D$41</x:f>
        <x:v>0</x:v>
      </x:c>
      <x:c r="M54" s="40" t="n">
        <x:f>M18*(1-$S18)*'Unit economics'!$D$41</x:f>
        <x:v>0</x:v>
      </x:c>
      <x:c r="N54" s="40" t="n">
        <x:f>N18*(1-$S18)*'Unit economics'!$D$41</x:f>
        <x:v>0</x:v>
      </x:c>
      <x:c r="O54" s="40" t="n">
        <x:f>O18*(1-$S18)*'Unit economics'!$D$41</x:f>
        <x:v>0</x:v>
      </x:c>
      <x:c r="P54" s="40" t="n">
        <x:f>P18*(1-$S18)*'Unit economics'!$D$41</x:f>
        <x:v>0</x:v>
      </x:c>
      <x:c r="Q54" s="40" t="n">
        <x:f>Q18*(1-$S18)*'Unit economics'!$D$41</x:f>
        <x:v>1047.6</x:v>
      </x:c>
      <x:c r="R54" s="3"/>
      <x:c r="S54" s="3"/>
    </x:row>
    <x:row r="55" ht="21" customHeight="1">
      <x:c r="A55" s="2"/>
      <x:c r="B55" s="2"/>
      <x:c r="C55" s="60" t="n">
        <x:f>C19</x:f>
        <x:v>11</x:v>
      </x:c>
      <x:c r="D55" s="3"/>
      <x:c r="E55" s="3"/>
      <x:c r="F55" s="40" t="n">
        <x:f>F19*(1-$S19)*'Unit economics'!$D$41</x:f>
        <x:v>0</x:v>
      </x:c>
      <x:c r="G55" s="40" t="n">
        <x:f>G19*(1-$S19)*'Unit economics'!$D$41</x:f>
        <x:v>0</x:v>
      </x:c>
      <x:c r="H55" s="40" t="n">
        <x:f>H19*(1-$S19)*'Unit economics'!$D$41</x:f>
        <x:v>0</x:v>
      </x:c>
      <x:c r="I55" s="40" t="n">
        <x:f>I19*(1-$S19)*'Unit economics'!$D$41</x:f>
        <x:v>0</x:v>
      </x:c>
      <x:c r="J55" s="40" t="n">
        <x:f>J19*(1-$S19)*'Unit economics'!$D$41</x:f>
        <x:v>0</x:v>
      </x:c>
      <x:c r="K55" s="40" t="n">
        <x:f>K19*(1-$S19)*'Unit economics'!$D$41</x:f>
        <x:v>0</x:v>
      </x:c>
      <x:c r="L55" s="40" t="n">
        <x:f>L19*(1-$S19)*'Unit economics'!$D$41</x:f>
        <x:v>0</x:v>
      </x:c>
      <x:c r="M55" s="40" t="n">
        <x:f>M19*(1-$S19)*'Unit economics'!$D$41</x:f>
        <x:v>0</x:v>
      </x:c>
      <x:c r="N55" s="40" t="n">
        <x:f>N19*(1-$S19)*'Unit economics'!$D$41</x:f>
        <x:v>0</x:v>
      </x:c>
      <x:c r="O55" s="40" t="n">
        <x:f>O19*(1-$S19)*'Unit economics'!$D$41</x:f>
        <x:v>0</x:v>
      </x:c>
      <x:c r="P55" s="40" t="n">
        <x:f>P19*(1-$S19)*'Unit economics'!$D$41</x:f>
        <x:v>0</x:v>
      </x:c>
      <x:c r="Q55" s="40" t="n">
        <x:f>Q19*(1-$S19)*'Unit economics'!$D$41</x:f>
        <x:v>0</x:v>
      </x:c>
      <x:c r="R55" s="3"/>
      <x:c r="S55" s="3"/>
    </x:row>
    <x:row r="56" ht="21" customHeight="1">
      <x:c r="A56" s="2"/>
      <x:c r="B56" s="2"/>
      <x:c r="C56" s="60" t="n">
        <x:f>C20</x:f>
        <x:v>12</x:v>
      </x:c>
      <x:c r="D56" s="3"/>
      <x:c r="E56" s="3"/>
      <x:c r="F56" s="40" t="n">
        <x:f>F20*(1-$S20)*'Unit economics'!$D$41</x:f>
        <x:v>0</x:v>
      </x:c>
      <x:c r="G56" s="40" t="n">
        <x:f>G20*(1-$S20)*'Unit economics'!$D$41</x:f>
        <x:v>0</x:v>
      </x:c>
      <x:c r="H56" s="40" t="n">
        <x:f>H20*(1-$S20)*'Unit economics'!$D$41</x:f>
        <x:v>0</x:v>
      </x:c>
      <x:c r="I56" s="40" t="n">
        <x:f>I20*(1-$S20)*'Unit economics'!$D$41</x:f>
        <x:v>0</x:v>
      </x:c>
      <x:c r="J56" s="40" t="n">
        <x:f>J20*(1-$S20)*'Unit economics'!$D$41</x:f>
        <x:v>0</x:v>
      </x:c>
      <x:c r="K56" s="40" t="n">
        <x:f>K20*(1-$S20)*'Unit economics'!$D$41</x:f>
        <x:v>0</x:v>
      </x:c>
      <x:c r="L56" s="40" t="n">
        <x:f>L20*(1-$S20)*'Unit economics'!$D$41</x:f>
        <x:v>0</x:v>
      </x:c>
      <x:c r="M56" s="40" t="n">
        <x:f>M20*(1-$S20)*'Unit economics'!$D$41</x:f>
        <x:v>0</x:v>
      </x:c>
      <x:c r="N56" s="40" t="n">
        <x:f>N20*(1-$S20)*'Unit economics'!$D$41</x:f>
        <x:v>0</x:v>
      </x:c>
      <x:c r="O56" s="40" t="n">
        <x:f>O20*(1-$S20)*'Unit economics'!$D$41</x:f>
        <x:v>0</x:v>
      </x:c>
      <x:c r="P56" s="40" t="n">
        <x:f>P20*(1-$S20)*'Unit economics'!$D$41</x:f>
        <x:v>0</x:v>
      </x:c>
      <x:c r="Q56" s="40" t="n">
        <x:f>Q20*(1-$S20)*'Unit economics'!$D$41</x:f>
        <x:v>0</x:v>
      </x:c>
      <x:c r="R56" s="3"/>
      <x:c r="S56" s="3"/>
    </x:row>
    <x:row r="57" ht="21" customHeight="1">
      <x:c r="A57" s="2"/>
      <x:c r="B57" s="2"/>
      <x:c r="C57" s="2" t="str">
        <x:v>Monthly total</x:v>
      </x:c>
      <x:c r="D57" s="3"/>
      <x:c r="E57" s="3"/>
      <x:c r="F57" s="39" t="n">
        <x:f>SUM(F45:F56)</x:f>
        <x:v>0</x:v>
      </x:c>
      <x:c r="G57" s="39" t="n">
        <x:f>SUM(G45:G56)</x:f>
        <x:v>0</x:v>
      </x:c>
      <x:c r="H57" s="39" t="n">
        <x:f>SUM(H45:H56)</x:f>
        <x:v>0</x:v>
      </x:c>
      <x:c r="I57" s="39" t="n">
        <x:f>SUM(I45:I56)</x:f>
        <x:v>0</x:v>
      </x:c>
      <x:c r="J57" s="39" t="n">
        <x:f>SUM(J45:J56)</x:f>
        <x:v>1309.4999999999998</x:v>
      </x:c>
      <x:c r="K57" s="39" t="n">
        <x:f>SUM(K45:K56)</x:f>
        <x:v>1296.4049999999997</x:v>
      </x:c>
      <x:c r="L57" s="39" t="n">
        <x:f>SUM(L45:L56)</x:f>
        <x:v>2592.9409499999997</x:v>
      </x:c>
      <x:c r="M57" s="39" t="n">
        <x:f>SUM(M45:M56)</x:f>
        <x:v>3090.8115405</x:v>
      </x:c>
      <x:c r="N57" s="39" t="n">
        <x:f>SUM(N45:N56)</x:f>
        <x:v>3845.6034250949997</x:v>
      </x:c>
      <x:c r="O57" s="39" t="n">
        <x:f>SUM(O45:O56)</x:f>
        <x:v>4854.74739084405</x:v>
      </x:c>
      <x:c r="P57" s="39" t="n">
        <x:f>SUM(P45:P56)</x:f>
        <x:v>5853.799916935608</x:v>
      </x:c>
      <x:c r="Q57" s="39" t="n">
        <x:f>SUM(Q45:Q56)</x:f>
        <x:v>6842.861917766253</x:v>
      </x:c>
      <x:c r="R57" s="3"/>
      <x:c r="S57" s="3"/>
    </x:row>
    <x:row r="58" ht="21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 ht="21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 ht="21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 ht="21" customHeight="1">
      <x:c r="A61" s="2"/>
      <x:c r="B61" s="2"/>
      <x:c r="C61" s="24" t="str">
        <x:v>Unused-prepay refunds on early release</x:v>
      </x:c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3"/>
      <x:c r="S61" s="3"/>
    </x:row>
    <x:row r="62" ht="21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 ht="21" customHeight="1">
      <x:c r="A63" s="2"/>
      <x:c r="B63" s="2"/>
      <x:c r="C63" s="60" t="n">
        <x:f>C9</x:f>
        <x:v>1</x:v>
      </x:c>
      <x:c r="D63" s="3"/>
      <x:c r="E63" s="3"/>
      <x:c r="F63" s="39" t="n">
        <x:f>0</x:f>
        <x:v>0</x:v>
      </x:c>
      <x:c r="G63" s="39" t="n">
        <x:f>0</x:f>
        <x:v>0</x:v>
      </x:c>
      <x:c r="H63" s="39" t="n">
        <x:f>0</x:f>
        <x:v>0</x:v>
      </x:c>
      <x:c r="I63" s="40" t="n">
        <x:f>H9*'Assumptions'!I24*$S9*('Assumptions'!$F$45-(I$8-$C9))*'Unit economics'!$D$41</x:f>
        <x:v>0</x:v>
      </x:c>
      <x:c r="J63" s="40" t="n">
        <x:f>I9*'Assumptions'!J24*$S9*('Assumptions'!$F$45-(J$8-$C9))*'Unit economics'!$D$41</x:f>
        <x:v>0</x:v>
      </x:c>
      <x:c r="K63" s="40" t="n">
        <x:f>J9*'Assumptions'!K24*$S9*('Assumptions'!$F$45-(K$8-$C9))*'Unit economics'!$D$41</x:f>
        <x:v>0</x:v>
      </x:c>
      <x:c r="L63" s="40" t="n">
        <x:f>K9*'Assumptions'!L24*$S9*('Assumptions'!$F$45-(L$8-$C9))*'Unit economics'!$D$41</x:f>
        <x:v>0</x:v>
      </x:c>
      <x:c r="M63" s="40" t="n">
        <x:f>L9*'Assumptions'!M24*$S9*('Assumptions'!$F$45-(M$8-$C9))*'Unit economics'!$D$41</x:f>
        <x:v>0</x:v>
      </x:c>
      <x:c r="N63" s="40" t="n">
        <x:f>M9*'Assumptions'!N24*$S9*('Assumptions'!$F$45-(N$8-$C9))*'Unit economics'!$D$41</x:f>
        <x:v>0</x:v>
      </x:c>
      <x:c r="O63" s="40" t="n">
        <x:f>N9*'Assumptions'!O24*$S9*('Assumptions'!$F$45-(O$8-$C9))*'Unit economics'!$D$41</x:f>
        <x:v>0</x:v>
      </x:c>
      <x:c r="P63" s="40" t="n">
        <x:f>O9*'Assumptions'!P24*$S9*('Assumptions'!$F$45-(P$8-$C9))*'Unit economics'!$D$41</x:f>
        <x:v>0</x:v>
      </x:c>
      <x:c r="Q63" s="40" t="n">
        <x:f>P9*'Assumptions'!Q24*$S9*('Assumptions'!$F$45-(Q$8-$C9))*'Unit economics'!$D$41</x:f>
        <x:v>0</x:v>
      </x:c>
      <x:c r="R63" s="3"/>
      <x:c r="S63" s="3"/>
    </x:row>
    <x:row r="64" ht="21" customHeight="1">
      <x:c r="A64" s="2"/>
      <x:c r="B64" s="2"/>
      <x:c r="C64" s="60" t="n">
        <x:f>C10</x:f>
        <x:v>2</x:v>
      </x:c>
      <x:c r="D64" s="3"/>
      <x:c r="E64" s="3"/>
      <x:c r="F64" s="39" t="n">
        <x:f>0</x:f>
        <x:v>0</x:v>
      </x:c>
      <x:c r="G64" s="39" t="n">
        <x:f>0</x:f>
        <x:v>0</x:v>
      </x:c>
      <x:c r="H64" s="39" t="n">
        <x:f>0</x:f>
        <x:v>0</x:v>
      </x:c>
      <x:c r="I64" s="39" t="n">
        <x:f>0</x:f>
        <x:v>0</x:v>
      </x:c>
      <x:c r="J64" s="40" t="n">
        <x:f>I10*'Assumptions'!J24*$S10*('Assumptions'!$F$45-(J$8-$C10))*'Unit economics'!$D$41</x:f>
        <x:v>0</x:v>
      </x:c>
      <x:c r="K64" s="40" t="n">
        <x:f>J10*'Assumptions'!K24*$S10*('Assumptions'!$F$45-(K$8-$C10))*'Unit economics'!$D$41</x:f>
        <x:v>0</x:v>
      </x:c>
      <x:c r="L64" s="40" t="n">
        <x:f>K10*'Assumptions'!L24*$S10*('Assumptions'!$F$45-(L$8-$C10))*'Unit economics'!$D$41</x:f>
        <x:v>0</x:v>
      </x:c>
      <x:c r="M64" s="40" t="n">
        <x:f>L10*'Assumptions'!M24*$S10*('Assumptions'!$F$45-(M$8-$C10))*'Unit economics'!$D$41</x:f>
        <x:v>0</x:v>
      </x:c>
      <x:c r="N64" s="40" t="n">
        <x:f>M10*'Assumptions'!N24*$S10*('Assumptions'!$F$45-(N$8-$C10))*'Unit economics'!$D$41</x:f>
        <x:v>0</x:v>
      </x:c>
      <x:c r="O64" s="40" t="n">
        <x:f>N10*'Assumptions'!O24*$S10*('Assumptions'!$F$45-(O$8-$C10))*'Unit economics'!$D$41</x:f>
        <x:v>0</x:v>
      </x:c>
      <x:c r="P64" s="40" t="n">
        <x:f>O10*'Assumptions'!P24*$S10*('Assumptions'!$F$45-(P$8-$C10))*'Unit economics'!$D$41</x:f>
        <x:v>0</x:v>
      </x:c>
      <x:c r="Q64" s="40" t="n">
        <x:f>P10*'Assumptions'!Q24*$S10*('Assumptions'!$F$45-(Q$8-$C10))*'Unit economics'!$D$41</x:f>
        <x:v>0</x:v>
      </x:c>
      <x:c r="R64" s="3"/>
      <x:c r="S64" s="3"/>
    </x:row>
    <x:row r="65" ht="21" customHeight="1">
      <x:c r="A65" s="2"/>
      <x:c r="B65" s="2"/>
      <x:c r="C65" s="60" t="n">
        <x:f>C11</x:f>
        <x:v>3</x:v>
      </x:c>
      <x:c r="D65" s="3"/>
      <x:c r="E65" s="3"/>
      <x:c r="F65" s="39" t="n">
        <x:f>0</x:f>
        <x:v>0</x:v>
      </x:c>
      <x:c r="G65" s="39" t="n">
        <x:f>0</x:f>
        <x:v>0</x:v>
      </x:c>
      <x:c r="H65" s="39" t="n">
        <x:f>0</x:f>
        <x:v>0</x:v>
      </x:c>
      <x:c r="I65" s="39" t="n">
        <x:f>0</x:f>
        <x:v>0</x:v>
      </x:c>
      <x:c r="J65" s="39" t="n">
        <x:f>0</x:f>
        <x:v>0</x:v>
      </x:c>
      <x:c r="K65" s="40" t="n">
        <x:f>J11*'Assumptions'!K24*$S11*('Assumptions'!$F$45-(K$8-$C11))*'Unit economics'!$D$41</x:f>
        <x:v>117.85499999999999</x:v>
      </x:c>
      <x:c r="L65" s="40" t="n">
        <x:f>K11*'Assumptions'!L24*$S11*('Assumptions'!$F$45-(L$8-$C11))*'Unit economics'!$D$41</x:f>
        <x:v>103.71239999999999</x:v>
      </x:c>
      <x:c r="M65" s="40" t="n">
        <x:f>L11*'Assumptions'!M24*$S11*('Assumptions'!$F$45-(M$8-$C11))*'Unit economics'!$D$41</x:f>
        <x:v>89.84086649999998</x:v>
      </x:c>
      <x:c r="N65" s="40" t="n">
        <x:f>M11*'Assumptions'!N24*$S11*('Assumptions'!$F$45-(N$8-$C11))*'Unit economics'!$D$41</x:f>
        <x:v>76.23639243</x:v>
      </x:c>
      <x:c r="O65" s="40" t="n">
        <x:f>N11*'Assumptions'!O24*$S11*('Assumptions'!$F$45-(O$8-$C11))*'Unit economics'!$D$41</x:f>
        <x:v>62.89502375475</x:v>
      </x:c>
      <x:c r="P65" s="40" t="n">
        <x:f>O11*'Assumptions'!P24*$S11*('Assumptions'!$F$45-(P$8-$C11))*'Unit economics'!$D$41</x:f>
        <x:v>49.812858813762</x:v>
      </x:c>
      <x:c r="Q65" s="40" t="n">
        <x:f>P11*'Assumptions'!Q24*$S11*('Assumptions'!$F$45-(Q$8-$C11))*'Unit economics'!$D$41</x:f>
        <x:v>36.98604766921828</x:v>
      </x:c>
      <x:c r="R65" s="3"/>
      <x:c r="S65" s="3"/>
    </x:row>
    <x:row r="66" ht="21" customHeight="1">
      <x:c r="A66" s="2"/>
      <x:c r="B66" s="2"/>
      <x:c r="C66" s="60" t="n">
        <x:f>C12</x:f>
        <x:v>4</x:v>
      </x:c>
      <x:c r="D66" s="3"/>
      <x:c r="E66" s="3"/>
      <x:c r="F66" s="39" t="n">
        <x:f>0</x:f>
        <x:v>0</x:v>
      </x:c>
      <x:c r="G66" s="39" t="n">
        <x:f>0</x:f>
        <x:v>0</x:v>
      </x:c>
      <x:c r="H66" s="39" t="n">
        <x:f>0</x:f>
        <x:v>0</x:v>
      </x:c>
      <x:c r="I66" s="39" t="n">
        <x:f>0</x:f>
        <x:v>0</x:v>
      </x:c>
      <x:c r="J66" s="39" t="n">
        <x:f>0</x:f>
        <x:v>0</x:v>
      </x:c>
      <x:c r="K66" s="39" t="n">
        <x:f>0</x:f>
        <x:v>0</x:v>
      </x:c>
      <x:c r="L66" s="40" t="n">
        <x:f>K12*'Assumptions'!L24*$S12*('Assumptions'!$F$45-(L$8-$C12))*'Unit economics'!$D$41</x:f>
        <x:v>0</x:v>
      </x:c>
      <x:c r="M66" s="40" t="n">
        <x:f>L12*'Assumptions'!M24*$S12*('Assumptions'!$F$45-(M$8-$C12))*'Unit economics'!$D$41</x:f>
        <x:v>0</x:v>
      </x:c>
      <x:c r="N66" s="40" t="n">
        <x:f>M12*'Assumptions'!N24*$S12*('Assumptions'!$F$45-(N$8-$C12))*'Unit economics'!$D$41</x:f>
        <x:v>0</x:v>
      </x:c>
      <x:c r="O66" s="40" t="n">
        <x:f>N12*'Assumptions'!O24*$S12*('Assumptions'!$F$45-(O$8-$C12))*'Unit economics'!$D$41</x:f>
        <x:v>0</x:v>
      </x:c>
      <x:c r="P66" s="40" t="n">
        <x:f>O12*'Assumptions'!P24*$S12*('Assumptions'!$F$45-(P$8-$C12))*'Unit economics'!$D$41</x:f>
        <x:v>0</x:v>
      </x:c>
      <x:c r="Q66" s="40" t="n">
        <x:f>P12*'Assumptions'!Q24*$S12*('Assumptions'!$F$45-(Q$8-$C12))*'Unit economics'!$D$41</x:f>
        <x:v>0</x:v>
      </x:c>
      <x:c r="R66" s="3"/>
      <x:c r="S66" s="3"/>
    </x:row>
    <x:row r="67" ht="21" customHeight="1">
      <x:c r="A67" s="2"/>
      <x:c r="B67" s="2"/>
      <x:c r="C67" s="60" t="n">
        <x:f>C13</x:f>
        <x:v>5</x:v>
      </x:c>
      <x:c r="D67" s="3"/>
      <x:c r="E67" s="3"/>
      <x:c r="F67" s="39" t="n">
        <x:f>0</x:f>
        <x:v>0</x:v>
      </x:c>
      <x:c r="G67" s="39" t="n">
        <x:f>0</x:f>
        <x:v>0</x:v>
      </x:c>
      <x:c r="H67" s="39" t="n">
        <x:f>0</x:f>
        <x:v>0</x:v>
      </x:c>
      <x:c r="I67" s="39" t="n">
        <x:f>0</x:f>
        <x:v>0</x:v>
      </x:c>
      <x:c r="J67" s="39" t="n">
        <x:f>0</x:f>
        <x:v>0</x:v>
      </x:c>
      <x:c r="K67" s="39" t="n">
        <x:f>0</x:f>
        <x:v>0</x:v>
      </x:c>
      <x:c r="L67" s="39" t="n">
        <x:f>0</x:f>
        <x:v>0</x:v>
      </x:c>
      <x:c r="M67" s="40" t="n">
        <x:f>L13*'Assumptions'!M24*$S13*('Assumptions'!$F$45-(M$8-$C13))*'Unit economics'!$D$41</x:f>
        <x:v>117.85499999999999</x:v>
      </x:c>
      <x:c r="N67" s="40" t="n">
        <x:f>M13*'Assumptions'!N24*$S13*('Assumptions'!$F$45-(N$8-$C13))*'Unit economics'!$D$41</x:f>
        <x:v>103.71239999999999</x:v>
      </x:c>
      <x:c r="O67" s="40" t="n">
        <x:f>N13*'Assumptions'!O24*$S13*('Assumptions'!$F$45-(O$8-$C13))*'Unit economics'!$D$41</x:f>
        <x:v>89.84086649999998</x:v>
      </x:c>
      <x:c r="P67" s="40" t="n">
        <x:f>O13*'Assumptions'!P24*$S13*('Assumptions'!$F$45-(P$8-$C13))*'Unit economics'!$D$41</x:f>
        <x:v>76.23639243</x:v>
      </x:c>
      <x:c r="Q67" s="40" t="n">
        <x:f>P13*'Assumptions'!Q24*$S13*('Assumptions'!$F$45-(Q$8-$C13))*'Unit economics'!$D$41</x:f>
        <x:v>62.89502375475</x:v>
      </x:c>
      <x:c r="R67" s="3"/>
      <x:c r="S67" s="3"/>
    </x:row>
    <x:row r="68" ht="21" customHeight="1">
      <x:c r="A68" s="2"/>
      <x:c r="B68" s="2"/>
      <x:c r="C68" s="60" t="n">
        <x:f>C14</x:f>
        <x:v>6</x:v>
      </x:c>
      <x:c r="D68" s="3"/>
      <x:c r="E68" s="3"/>
      <x:c r="F68" s="39" t="n">
        <x:f>0</x:f>
        <x:v>0</x:v>
      </x:c>
      <x:c r="G68" s="39" t="n">
        <x:f>0</x:f>
        <x:v>0</x:v>
      </x:c>
      <x:c r="H68" s="39" t="n">
        <x:f>0</x:f>
        <x:v>0</x:v>
      </x:c>
      <x:c r="I68" s="39" t="n">
        <x:f>0</x:f>
        <x:v>0</x:v>
      </x:c>
      <x:c r="J68" s="39" t="n">
        <x:f>0</x:f>
        <x:v>0</x:v>
      </x:c>
      <x:c r="K68" s="39" t="n">
        <x:f>0</x:f>
        <x:v>0</x:v>
      </x:c>
      <x:c r="L68" s="39" t="n">
        <x:f>0</x:f>
        <x:v>0</x:v>
      </x:c>
      <x:c r="M68" s="39" t="n">
        <x:f>0</x:f>
        <x:v>0</x:v>
      </x:c>
      <x:c r="N68" s="40" t="n">
        <x:f>M14*'Assumptions'!N24*$S14*('Assumptions'!$F$45-(N$8-$C14))*'Unit economics'!$D$41</x:f>
        <x:v>47.141999999999996</x:v>
      </x:c>
      <x:c r="O68" s="40" t="n">
        <x:f>N14*'Assumptions'!O24*$S14*('Assumptions'!$F$45-(O$8-$C14))*'Unit economics'!$D$41</x:f>
        <x:v>41.484959999999994</x:v>
      </x:c>
      <x:c r="P68" s="40" t="n">
        <x:f>O14*'Assumptions'!P24*$S14*('Assumptions'!$F$45-(P$8-$C14))*'Unit economics'!$D$41</x:f>
        <x:v>35.936346599999986</x:v>
      </x:c>
      <x:c r="Q68" s="40" t="n">
        <x:f>P14*'Assumptions'!Q24*$S14*('Assumptions'!$F$45-(Q$8-$C14))*'Unit economics'!$D$41</x:f>
        <x:v>30.49455697199999</x:v>
      </x:c>
      <x:c r="R68" s="3"/>
      <x:c r="S68" s="3"/>
    </x:row>
    <x:row r="69" ht="21" customHeight="1">
      <x:c r="A69" s="2"/>
      <x:c r="B69" s="2"/>
      <x:c r="C69" s="60" t="n">
        <x:f>C15</x:f>
        <x:v>7</x:v>
      </x:c>
      <x:c r="D69" s="3"/>
      <x:c r="E69" s="3"/>
      <x:c r="F69" s="39" t="n">
        <x:f>0</x:f>
        <x:v>0</x:v>
      </x:c>
      <x:c r="G69" s="39" t="n">
        <x:f>0</x:f>
        <x:v>0</x:v>
      </x:c>
      <x:c r="H69" s="39" t="n">
        <x:f>0</x:f>
        <x:v>0</x:v>
      </x:c>
      <x:c r="I69" s="39" t="n">
        <x:f>0</x:f>
        <x:v>0</x:v>
      </x:c>
      <x:c r="J69" s="39" t="n">
        <x:f>0</x:f>
        <x:v>0</x:v>
      </x:c>
      <x:c r="K69" s="39" t="n">
        <x:f>0</x:f>
        <x:v>0</x:v>
      </x:c>
      <x:c r="L69" s="39" t="n">
        <x:f>0</x:f>
        <x:v>0</x:v>
      </x:c>
      <x:c r="M69" s="39" t="n">
        <x:f>0</x:f>
        <x:v>0</x:v>
      </x:c>
      <x:c r="N69" s="39" t="n">
        <x:f>0</x:f>
        <x:v>0</x:v>
      </x:c>
      <x:c r="O69" s="40" t="n">
        <x:f>N15*'Assumptions'!O24*$S15*('Assumptions'!$F$45-(O$8-$C15))*'Unit economics'!$D$41</x:f>
        <x:v>70.713</x:v>
      </x:c>
      <x:c r="P69" s="40" t="n">
        <x:f>O15*'Assumptions'!P24*$S15*('Assumptions'!$F$45-(P$8-$C15))*'Unit economics'!$D$41</x:f>
        <x:v>62.227439999999994</x:v>
      </x:c>
      <x:c r="Q69" s="40" t="n">
        <x:f>P15*'Assumptions'!Q24*$S15*('Assumptions'!$F$45-(Q$8-$C15))*'Unit economics'!$D$41</x:f>
        <x:v>53.9045199</x:v>
      </x:c>
      <x:c r="R69" s="3"/>
      <x:c r="S69" s="3"/>
    </x:row>
    <x:row r="70" ht="21" customHeight="1">
      <x:c r="A70" s="2"/>
      <x:c r="B70" s="2"/>
      <x:c r="C70" s="60" t="n">
        <x:f>C16</x:f>
        <x:v>8</x:v>
      </x:c>
      <x:c r="D70" s="3"/>
      <x:c r="E70" s="3"/>
      <x:c r="F70" s="39" t="n">
        <x:f>0</x:f>
        <x:v>0</x:v>
      </x:c>
      <x:c r="G70" s="39" t="n">
        <x:f>0</x:f>
        <x:v>0</x:v>
      </x:c>
      <x:c r="H70" s="39" t="n">
        <x:f>0</x:f>
        <x:v>0</x:v>
      </x:c>
      <x:c r="I70" s="39" t="n">
        <x:f>0</x:f>
        <x:v>0</x:v>
      </x:c>
      <x:c r="J70" s="39" t="n">
        <x:f>0</x:f>
        <x:v>0</x:v>
      </x:c>
      <x:c r="K70" s="39" t="n">
        <x:f>0</x:f>
        <x:v>0</x:v>
      </x:c>
      <x:c r="L70" s="39" t="n">
        <x:f>0</x:f>
        <x:v>0</x:v>
      </x:c>
      <x:c r="M70" s="39" t="n">
        <x:f>0</x:f>
        <x:v>0</x:v>
      </x:c>
      <x:c r="N70" s="39" t="n">
        <x:f>0</x:f>
        <x:v>0</x:v>
      </x:c>
      <x:c r="O70" s="39" t="n">
        <x:f>0</x:f>
        <x:v>0</x:v>
      </x:c>
      <x:c r="P70" s="40" t="n">
        <x:f>O16*'Assumptions'!P24*$S16*('Assumptions'!$F$45-(P$8-$C16))*'Unit economics'!$D$41</x:f>
        <x:v>94.28399999999999</x:v>
      </x:c>
      <x:c r="Q70" s="40" t="n">
        <x:f>P16*'Assumptions'!Q24*$S16*('Assumptions'!$F$45-(Q$8-$C16))*'Unit economics'!$D$41</x:f>
        <x:v>82.96991999999999</x:v>
      </x:c>
      <x:c r="R70" s="3"/>
      <x:c r="S70" s="3"/>
    </x:row>
    <x:row r="71" ht="21" customHeight="1">
      <x:c r="A71" s="2"/>
      <x:c r="B71" s="2"/>
      <x:c r="C71" s="60" t="n">
        <x:f>C17</x:f>
        <x:v>9</x:v>
      </x:c>
      <x:c r="D71" s="3"/>
      <x:c r="E71" s="3"/>
      <x:c r="F71" s="39" t="n">
        <x:f>0</x:f>
        <x:v>0</x:v>
      </x:c>
      <x:c r="G71" s="39" t="n">
        <x:f>0</x:f>
        <x:v>0</x:v>
      </x:c>
      <x:c r="H71" s="39" t="n">
        <x:f>0</x:f>
        <x:v>0</x:v>
      </x:c>
      <x:c r="I71" s="39" t="n">
        <x:f>0</x:f>
        <x:v>0</x:v>
      </x:c>
      <x:c r="J71" s="39" t="n">
        <x:f>0</x:f>
        <x:v>0</x:v>
      </x:c>
      <x:c r="K71" s="39" t="n">
        <x:f>0</x:f>
        <x:v>0</x:v>
      </x:c>
      <x:c r="L71" s="39" t="n">
        <x:f>0</x:f>
        <x:v>0</x:v>
      </x:c>
      <x:c r="M71" s="39" t="n">
        <x:f>0</x:f>
        <x:v>0</x:v>
      </x:c>
      <x:c r="N71" s="39" t="n">
        <x:f>0</x:f>
        <x:v>0</x:v>
      </x:c>
      <x:c r="O71" s="39" t="n">
        <x:f>0</x:f>
        <x:v>0</x:v>
      </x:c>
      <x:c r="P71" s="39" t="n">
        <x:f>0</x:f>
        <x:v>0</x:v>
      </x:c>
      <x:c r="Q71" s="40" t="n">
        <x:f>P17*'Assumptions'!Q24*$S17*('Assumptions'!$F$45-(Q$8-$C17))*'Unit economics'!$D$41</x:f>
        <x:v>94.28399999999999</x:v>
      </x:c>
      <x:c r="R71" s="3"/>
      <x:c r="S71" s="3"/>
    </x:row>
    <x:row r="72" ht="21" customHeight="1">
      <x:c r="A72" s="2"/>
      <x:c r="B72" s="2"/>
      <x:c r="C72" s="60" t="n">
        <x:f>C18</x:f>
        <x:v>10</x:v>
      </x:c>
      <x:c r="D72" s="3"/>
      <x:c r="E72" s="3"/>
      <x:c r="F72" s="39" t="n">
        <x:f>0</x:f>
        <x:v>0</x:v>
      </x:c>
      <x:c r="G72" s="39" t="n">
        <x:f>0</x:f>
        <x:v>0</x:v>
      </x:c>
      <x:c r="H72" s="39" t="n">
        <x:f>0</x:f>
        <x:v>0</x:v>
      </x:c>
      <x:c r="I72" s="39" t="n">
        <x:f>0</x:f>
        <x:v>0</x:v>
      </x:c>
      <x:c r="J72" s="39" t="n">
        <x:f>0</x:f>
        <x:v>0</x:v>
      </x:c>
      <x:c r="K72" s="39" t="n">
        <x:f>0</x:f>
        <x:v>0</x:v>
      </x:c>
      <x:c r="L72" s="39" t="n">
        <x:f>0</x:f>
        <x:v>0</x:v>
      </x:c>
      <x:c r="M72" s="39" t="n">
        <x:f>0</x:f>
        <x:v>0</x:v>
      </x:c>
      <x:c r="N72" s="39" t="n">
        <x:f>0</x:f>
        <x:v>0</x:v>
      </x:c>
      <x:c r="O72" s="39" t="n">
        <x:f>0</x:f>
        <x:v>0</x:v>
      </x:c>
      <x:c r="P72" s="39" t="n">
        <x:f>0</x:f>
        <x:v>0</x:v>
      </x:c>
      <x:c r="Q72" s="39" t="n">
        <x:f>0</x:f>
        <x:v>0</x:v>
      </x:c>
      <x:c r="R72" s="3"/>
      <x:c r="S72" s="3"/>
    </x:row>
    <x:row r="73" ht="21" customHeight="1">
      <x:c r="A73" s="2"/>
      <x:c r="B73" s="2"/>
      <x:c r="C73" s="60" t="n">
        <x:f>C19</x:f>
        <x:v>11</x:v>
      </x:c>
      <x:c r="D73" s="3"/>
      <x:c r="E73" s="3"/>
      <x:c r="F73" s="39" t="n">
        <x:f>0</x:f>
        <x:v>0</x:v>
      </x:c>
      <x:c r="G73" s="39" t="n">
        <x:f>0</x:f>
        <x:v>0</x:v>
      </x:c>
      <x:c r="H73" s="39" t="n">
        <x:f>0</x:f>
        <x:v>0</x:v>
      </x:c>
      <x:c r="I73" s="39" t="n">
        <x:f>0</x:f>
        <x:v>0</x:v>
      </x:c>
      <x:c r="J73" s="39" t="n">
        <x:f>0</x:f>
        <x:v>0</x:v>
      </x:c>
      <x:c r="K73" s="39" t="n">
        <x:f>0</x:f>
        <x:v>0</x:v>
      </x:c>
      <x:c r="L73" s="39" t="n">
        <x:f>0</x:f>
        <x:v>0</x:v>
      </x:c>
      <x:c r="M73" s="39" t="n">
        <x:f>0</x:f>
        <x:v>0</x:v>
      </x:c>
      <x:c r="N73" s="39" t="n">
        <x:f>0</x:f>
        <x:v>0</x:v>
      </x:c>
      <x:c r="O73" s="39" t="n">
        <x:f>0</x:f>
        <x:v>0</x:v>
      </x:c>
      <x:c r="P73" s="39" t="n">
        <x:f>0</x:f>
        <x:v>0</x:v>
      </x:c>
      <x:c r="Q73" s="39" t="n">
        <x:f>0</x:f>
        <x:v>0</x:v>
      </x:c>
      <x:c r="R73" s="3"/>
      <x:c r="S73" s="3"/>
    </x:row>
    <x:row r="74" ht="21" customHeight="1">
      <x:c r="A74" s="2"/>
      <x:c r="B74" s="2"/>
      <x:c r="C74" s="60" t="n">
        <x:f>C20</x:f>
        <x:v>12</x:v>
      </x:c>
      <x:c r="D74" s="3"/>
      <x:c r="E74" s="3"/>
      <x:c r="F74" s="39" t="n">
        <x:f>0</x:f>
        <x:v>0</x:v>
      </x:c>
      <x:c r="G74" s="39" t="n">
        <x:f>0</x:f>
        <x:v>0</x:v>
      </x:c>
      <x:c r="H74" s="39" t="n">
        <x:f>0</x:f>
        <x:v>0</x:v>
      </x:c>
      <x:c r="I74" s="39" t="n">
        <x:f>0</x:f>
        <x:v>0</x:v>
      </x:c>
      <x:c r="J74" s="39" t="n">
        <x:f>0</x:f>
        <x:v>0</x:v>
      </x:c>
      <x:c r="K74" s="39" t="n">
        <x:f>0</x:f>
        <x:v>0</x:v>
      </x:c>
      <x:c r="L74" s="39" t="n">
        <x:f>0</x:f>
        <x:v>0</x:v>
      </x:c>
      <x:c r="M74" s="39" t="n">
        <x:f>0</x:f>
        <x:v>0</x:v>
      </x:c>
      <x:c r="N74" s="39" t="n">
        <x:f>0</x:f>
        <x:v>0</x:v>
      </x:c>
      <x:c r="O74" s="39" t="n">
        <x:f>0</x:f>
        <x:v>0</x:v>
      </x:c>
      <x:c r="P74" s="39" t="n">
        <x:f>0</x:f>
        <x:v>0</x:v>
      </x:c>
      <x:c r="Q74" s="39" t="n">
        <x:f>0</x:f>
        <x:v>0</x:v>
      </x:c>
      <x:c r="R74" s="3"/>
      <x:c r="S74" s="3"/>
    </x:row>
    <x:row r="75" ht="21" customHeight="1">
      <x:c r="A75" s="2"/>
      <x:c r="B75" s="2"/>
      <x:c r="C75" s="2" t="str">
        <x:v>Monthly total</x:v>
      </x:c>
      <x:c r="D75" s="3"/>
      <x:c r="E75" s="3"/>
      <x:c r="F75" s="39" t="n">
        <x:f>SUM(F63:F74)</x:f>
        <x:v>0</x:v>
      </x:c>
      <x:c r="G75" s="39" t="n">
        <x:f>SUM(G63:G74)</x:f>
        <x:v>0</x:v>
      </x:c>
      <x:c r="H75" s="39" t="n">
        <x:f>SUM(H63:H74)</x:f>
        <x:v>0</x:v>
      </x:c>
      <x:c r="I75" s="39" t="n">
        <x:f>SUM(I63:I74)</x:f>
        <x:v>0</x:v>
      </x:c>
      <x:c r="J75" s="39" t="n">
        <x:f>SUM(J63:J74)</x:f>
        <x:v>0</x:v>
      </x:c>
      <x:c r="K75" s="39" t="n">
        <x:f>SUM(K63:K74)</x:f>
        <x:v>117.85499999999999</x:v>
      </x:c>
      <x:c r="L75" s="39" t="n">
        <x:f>SUM(L63:L74)</x:f>
        <x:v>103.71239999999999</x:v>
      </x:c>
      <x:c r="M75" s="39" t="n">
        <x:f>SUM(M63:M74)</x:f>
        <x:v>207.69586649999997</x:v>
      </x:c>
      <x:c r="N75" s="39" t="n">
        <x:f>SUM(N63:N74)</x:f>
        <x:v>227.09079242999996</x:v>
      </x:c>
      <x:c r="O75" s="39" t="n">
        <x:f>SUM(O63:O74)</x:f>
        <x:v>264.9338502547499</x:v>
      </x:c>
      <x:c r="P75" s="39" t="n">
        <x:f>SUM(P63:P74)</x:f>
        <x:v>318.497037843762</x:v>
      </x:c>
      <x:c r="Q75" s="39" t="n">
        <x:f>SUM(Q63:Q74)</x:f>
        <x:v>361.53406829596827</x:v>
      </x:c>
      <x:c r="R75" s="3"/>
      <x:c r="S75" s="3"/>
    </x:row>
    <x:row r="76" ht="21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 ht="21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 ht="21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 ht="21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 ht="21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" hidden="0" customWidth="1"/>
    <x:col min="19" max="19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2"/>
      <x:c r="B2" s="2"/>
      <x:c r="C2" s="4" t="str">
        <x:v>Service quotas and unit economics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2"/>
      <x:c r="S3" s="2"/>
    </x:row>
    <x:row r="4" ht="21" customHeight="1">
      <x:c r="A4" s="2"/>
      <x:c r="B4" s="2"/>
      <x:c r="C4" s="2" t="str">
        <x:v>Case Selected:</x:v>
      </x:c>
      <x:c r="D4" s="8" t="str">
        <x:f>CHOOSE('Assumptions'!$D$4,"Downside","Base","Capacity")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1" customHeight="1">
      <x:c r="A6" s="2"/>
      <x:c r="B6" s="2"/>
      <x:c r="C6" s="2" t="str">
        <x:v>Renewal-month economics. Launch forecast includes Professional and pilot only.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30" customHeight="1">
      <x:c r="A7" s="2"/>
      <x:c r="B7" s="2"/>
      <x:c r="C7" s="16"/>
      <x:c r="D7" s="16" t="str">
        <x:v>CAD/hour</x:v>
      </x:c>
      <x:c r="E7" s="16"/>
      <x:c r="F7" s="34" t="str">
        <x:v>Professional</x:v>
      </x:c>
      <x:c r="G7" s="34" t="str">
        <x:v>Specialist</x:v>
      </x:c>
      <x:c r="H7" s="34" t="str">
        <x:v>Practice</x:v>
      </x:c>
      <x:c r="I7" s="34" t="str">
        <x:v>Partner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1" customHeight="1">
      <x:c r="A8" s="2"/>
      <x:c r="B8" s="2"/>
      <x:c r="C8" s="2" t="str">
        <x:v>Annual price</x:v>
      </x:c>
      <x:c r="D8" s="3"/>
      <x:c r="E8" s="3"/>
      <x:c r="F8" s="49" t="n">
        <x:f>'Assumptions'!F44</x:f>
        <x:v>12000</x:v>
      </x:c>
      <x:c r="G8" s="31" t="n">
        <x:v>24000</x:v>
      </x:c>
      <x:c r="H8" s="31" t="n">
        <x:v>48000</x:v>
      </x:c>
      <x:c r="I8" s="31" t="n">
        <x:v>120000</x:v>
      </x:c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 ht="21" customHeight="1">
      <x:c r="A9" s="2"/>
      <x:c r="B9" s="2"/>
      <x:c r="C9" s="2" t="str">
        <x:v>Monthly service revenue</x:v>
      </x:c>
      <x:c r="D9" s="3"/>
      <x:c r="E9" s="3"/>
      <x:c r="F9" s="40" t="n">
        <x:f>F8/'Assumptions'!$F$45</x:f>
        <x:v>1000</x:v>
      </x:c>
      <x:c r="G9" s="40" t="n">
        <x:f>G8/'Assumptions'!$F$45</x:f>
        <x:v>2000</x:v>
      </x:c>
      <x:c r="H9" s="40" t="n">
        <x:f>H8/'Assumptions'!$F$45</x:f>
        <x:v>4000</x:v>
      </x:c>
      <x:c r="I9" s="40" t="n">
        <x:f>I8/'Assumptions'!$F$45</x:f>
        <x:v>10000</x:v>
      </x:c>
      <x:c r="J9" s="3"/>
      <x:c r="K9" s="3"/>
      <x:c r="L9" s="3"/>
      <x:c r="M9" s="3"/>
      <x:c r="N9" s="3"/>
      <x:c r="O9" s="3"/>
      <x:c r="P9" s="3"/>
      <x:c r="Q9" s="3"/>
      <x:c r="R9" s="3"/>
      <x:c r="S9" s="3"/>
    </x:row>
    <x:row r="10" ht="21" customHeight="1">
      <x:c r="A10" s="2"/>
      <x:c r="B10" s="2"/>
      <x:c r="C10" s="2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</x:row>
    <x:row r="11" ht="21" customHeight="1">
      <x:c r="A11" s="2"/>
      <x:c r="B11" s="2"/>
      <x:c r="C11" s="2" t="str">
        <x:v>Coach hours</x:v>
      </x:c>
      <x:c r="D11" s="35" t="n">
        <x:f>'Assumptions'!F60</x:f>
        <x:v>125</x:v>
      </x:c>
      <x:c r="E11" s="3"/>
      <x:c r="F11" s="33" t="n">
        <x:v>1</x:v>
      </x:c>
      <x:c r="G11" s="33" t="n">
        <x:v>2</x:v>
      </x:c>
      <x:c r="H11" s="33" t="n">
        <x:v>3</x:v>
      </x:c>
      <x:c r="I11" s="33" t="n">
        <x:v>4</x:v>
      </x:c>
      <x:c r="J11" s="3"/>
      <x:c r="K11" s="3"/>
      <x:c r="L11" s="3"/>
      <x:c r="M11" s="3"/>
      <x:c r="N11" s="3"/>
      <x:c r="O11" s="3"/>
      <x:c r="P11" s="3"/>
      <x:c r="Q11" s="3"/>
      <x:c r="R11" s="3"/>
      <x:c r="S11" s="3"/>
    </x:row>
    <x:row r="12" ht="21" customHeight="1">
      <x:c r="A12" s="2"/>
      <x:c r="B12" s="2"/>
      <x:c r="C12" s="2" t="str">
        <x:v>Domain reviewer hours</x:v>
      </x:c>
      <x:c r="D12" s="35" t="n">
        <x:f>'Assumptions'!F61</x:f>
        <x:v>150</x:v>
      </x:c>
      <x:c r="E12" s="3"/>
      <x:c r="F12" s="33" t="n">
        <x:v>0.5</x:v>
      </x:c>
      <x:c r="G12" s="33" t="n">
        <x:v>1</x:v>
      </x:c>
      <x:c r="H12" s="33" t="n">
        <x:v>2</x:v>
      </x:c>
      <x:c r="I12" s="33" t="n">
        <x:v>4</x:v>
      </x:c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 ht="21" customHeight="1">
      <x:c r="A13" s="2"/>
      <x:c r="B13" s="2"/>
      <x:c r="C13" s="2" t="str">
        <x:v>Implementation hours</x:v>
      </x:c>
      <x:c r="D13" s="35" t="n">
        <x:f>'Assumptions'!F62</x:f>
        <x:v>125</x:v>
      </x:c>
      <x:c r="E13" s="3"/>
      <x:c r="F13" s="33" t="n">
        <x:v>0</x:v>
      </x:c>
      <x:c r="G13" s="33" t="n">
        <x:v>1</x:v>
      </x:c>
      <x:c r="H13" s="33" t="n">
        <x:v>0</x:v>
      </x:c>
      <x:c r="I13" s="33" t="n">
        <x:v>0</x:v>
      </x:c>
      <x:c r="J13" s="3"/>
      <x:c r="K13" s="3"/>
      <x:c r="L13" s="3"/>
      <x:c r="M13" s="3"/>
      <x:c r="N13" s="3"/>
      <x:c r="O13" s="3"/>
      <x:c r="P13" s="3"/>
      <x:c r="Q13" s="3"/>
      <x:c r="R13" s="3"/>
      <x:c r="S13" s="3"/>
    </x:row>
    <x:row r="14" ht="21" customHeight="1">
      <x:c r="A14" s="2"/>
      <x:c r="B14" s="2"/>
      <x:c r="C14" s="2" t="str">
        <x:v>Engineer hours</x:v>
      </x:c>
      <x:c r="D14" s="35" t="n">
        <x:f>'Assumptions'!F63</x:f>
        <x:v>150</x:v>
      </x:c>
      <x:c r="E14" s="3"/>
      <x:c r="F14" s="33" t="n">
        <x:v>0</x:v>
      </x:c>
      <x:c r="G14" s="33" t="n">
        <x:v>0</x:v>
      </x:c>
      <x:c r="H14" s="33" t="n">
        <x:v>3</x:v>
      </x:c>
      <x:c r="I14" s="33" t="n">
        <x:v>12</x:v>
      </x:c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 ht="21" customHeight="1">
      <x:c r="A15" s="2"/>
      <x:c r="B15" s="2"/>
      <x:c r="C15" s="2" t="str">
        <x:v>Senior adviser hours</x:v>
      </x:c>
      <x:c r="D15" s="35" t="n">
        <x:f>'Assumptions'!F64</x:f>
        <x:v>200</x:v>
      </x:c>
      <x:c r="E15" s="3"/>
      <x:c r="F15" s="33" t="n">
        <x:v>0</x:v>
      </x:c>
      <x:c r="G15" s="33" t="n">
        <x:v>0</x:v>
      </x:c>
      <x:c r="H15" s="33" t="n">
        <x:v>0</x:v>
      </x:c>
      <x:c r="I15" s="33" t="n">
        <x:v>2</x:v>
      </x:c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 ht="21" customHeight="1">
      <x:c r="A16" s="2"/>
      <x:c r="B16" s="2"/>
      <x:c r="C16" s="2" t="str">
        <x:v>Analyst hours</x:v>
      </x:c>
      <x:c r="D16" s="35" t="n">
        <x:f>'Assumptions'!F65</x:f>
        <x:v>80</x:v>
      </x:c>
      <x:c r="E16" s="3"/>
      <x:c r="F16" s="33" t="n">
        <x:v>0</x:v>
      </x:c>
      <x:c r="G16" s="33" t="n">
        <x:v>0</x:v>
      </x:c>
      <x:c r="H16" s="33" t="n">
        <x:v>0</x:v>
      </x:c>
      <x:c r="I16" s="33" t="n">
        <x:v>8</x:v>
      </x:c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 ht="21" customHeight="1">
      <x:c r="A17" s="2"/>
      <x:c r="B17" s="2"/>
      <x:c r="C17" s="2" t="str">
        <x:v>Support hours</x:v>
      </x:c>
      <x:c r="D17" s="35" t="n">
        <x:f>'Assumptions'!F66</x:f>
        <x:v>60</x:v>
      </x:c>
      <x:c r="E17" s="3"/>
      <x:c r="F17" s="33" t="n">
        <x:v>0.5</x:v>
      </x:c>
      <x:c r="G17" s="33" t="n">
        <x:v>1</x:v>
      </x:c>
      <x:c r="H17" s="33" t="n">
        <x:v>2</x:v>
      </x:c>
      <x:c r="I17" s="33" t="n">
        <x:v>4</x:v>
      </x:c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 ht="21" customHeight="1">
      <x:c r="A18" s="2"/>
      <x:c r="B18" s="2"/>
      <x:c r="C18" s="2" t="str">
        <x:v>Allocated group-facilitation hours</x:v>
      </x:c>
      <x:c r="D18" s="3"/>
      <x:c r="E18" s="3"/>
      <x:c r="F18" s="37" t="n">
        <x:f>'Assumptions'!$F$47/'Assumptions'!$F$46</x:f>
        <x:v>0.25</x:v>
      </x:c>
      <x:c r="G18" s="37" t="n">
        <x:f>'Assumptions'!$F$47/'Assumptions'!$F$46</x:f>
        <x:v>0.25</x:v>
      </x:c>
      <x:c r="H18" s="37" t="n">
        <x:f>'Assumptions'!$F$47/'Assumptions'!$F$46</x:f>
        <x:v>0.25</x:v>
      </x:c>
      <x:c r="I18" s="37" t="n">
        <x:f>'Assumptions'!$F$47/'Assumptions'!$F$46</x:f>
        <x:v>0.25</x:v>
      </x:c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  <x:row r="19" ht="21" customHeight="1">
      <x:c r="A19" s="2"/>
      <x:c r="B19" s="2"/>
      <x:c r="C19" s="2" t="str">
        <x:v>Total reserved human hours</x:v>
      </x:c>
      <x:c r="D19" s="3"/>
      <x:c r="E19" s="3"/>
      <x:c r="F19" s="38" t="n">
        <x:f>SUM(F11:F18)</x:f>
        <x:v>2.25</x:v>
      </x:c>
      <x:c r="G19" s="38" t="n">
        <x:f>SUM(G11:G18)</x:f>
        <x:v>5.25</x:v>
      </x:c>
      <x:c r="H19" s="38" t="n">
        <x:f>SUM(H11:H18)</x:f>
        <x:v>10.25</x:v>
      </x:c>
      <x:c r="I19" s="38" t="n">
        <x:f>SUM(I11:I18)</x:f>
        <x:v>34.25</x:v>
      </x:c>
      <x:c r="J19" s="3"/>
      <x:c r="K19" s="3"/>
      <x:c r="L19" s="3"/>
      <x:c r="M19" s="3"/>
      <x:c r="N19" s="3"/>
      <x:c r="O19" s="3"/>
      <x:c r="P19" s="3"/>
      <x:c r="Q19" s="3"/>
      <x:c r="R19" s="3"/>
      <x:c r="S19" s="3"/>
    </x:row>
    <x:row r="20" ht="21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 ht="21" customHeight="1">
      <x:c r="A21" s="2"/>
      <x:c r="B21" s="2"/>
      <x:c r="C21" s="2" t="str">
        <x:v>Human delivery cost excluding clinics</x:v>
      </x:c>
      <x:c r="D21" s="3"/>
      <x:c r="E21" s="3"/>
      <x:c r="F21" s="39" t="n">
        <x:f>SUMPRODUCT(F11:F17,$D$11:$D$17)</x:f>
        <x:v>230</x:v>
      </x:c>
      <x:c r="G21" s="39" t="n">
        <x:f>SUMPRODUCT(G11:G17,$D$11:$D$17)</x:f>
        <x:v>585</x:v>
      </x:c>
      <x:c r="H21" s="39" t="n">
        <x:f>SUMPRODUCT(H11:H17,$D$11:$D$17)</x:f>
        <x:v>1245</x:v>
      </x:c>
      <x:c r="I21" s="39" t="n">
        <x:f>SUMPRODUCT(I11:I17,$D$11:$D$17)</x:f>
        <x:v>4180</x:v>
      </x:c>
      <x:c r="J21" s="3"/>
      <x:c r="K21" s="3"/>
      <x:c r="L21" s="3"/>
      <x:c r="M21" s="3"/>
      <x:c r="N21" s="3"/>
      <x:c r="O21" s="3"/>
      <x:c r="P21" s="3"/>
      <x:c r="Q21" s="3"/>
      <x:c r="R21" s="3"/>
      <x:c r="S21" s="3"/>
    </x:row>
    <x:row r="22" ht="21" customHeight="1">
      <x:c r="A22" s="2"/>
      <x:c r="B22" s="2"/>
      <x:c r="C22" s="2" t="str">
        <x:v>Allocated group clinic cost</x:v>
      </x:c>
      <x:c r="D22" s="3"/>
      <x:c r="E22" s="3"/>
      <x:c r="F22" s="39" t="n">
        <x:f>F18*$D$11</x:f>
        <x:v>31.25</x:v>
      </x:c>
      <x:c r="G22" s="39" t="n">
        <x:f>G18*$D$11</x:f>
        <x:v>31.25</x:v>
      </x:c>
      <x:c r="H22" s="39" t="n">
        <x:f>H18*$D$11</x:f>
        <x:v>31.25</x:v>
      </x:c>
      <x:c r="I22" s="39" t="n">
        <x:f>I18*$D$11</x:f>
        <x:v>31.25</x:v>
      </x:c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 ht="21" customHeight="1">
      <x:c r="A23" s="2"/>
      <x:c r="B23" s="2"/>
      <x:c r="C23" s="2" t="str">
        <x:v>AI usage allowance</x:v>
      </x:c>
      <x:c r="D23" s="3"/>
      <x:c r="E23" s="3"/>
      <x:c r="F23" s="31" t="n">
        <x:v>25</x:v>
      </x:c>
      <x:c r="G23" s="31" t="n">
        <x:v>45</x:v>
      </x:c>
      <x:c r="H23" s="31" t="n">
        <x:v>100</x:v>
      </x:c>
      <x:c r="I23" s="31" t="n">
        <x:v>250</x:v>
      </x:c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 ht="21" customHeight="1">
      <x:c r="A24" s="2"/>
      <x:c r="B24" s="2"/>
      <x:c r="C24" s="2" t="str">
        <x:v>Infrastructure allowance</x:v>
      </x:c>
      <x:c r="D24" s="3"/>
      <x:c r="E24" s="3"/>
      <x:c r="F24" s="31" t="n">
        <x:v>15</x:v>
      </x:c>
      <x:c r="G24" s="31" t="n">
        <x:v>20</x:v>
      </x:c>
      <x:c r="H24" s="31" t="n">
        <x:v>30</x:v>
      </x:c>
      <x:c r="I24" s="31" t="n">
        <x:v>75</x:v>
      </x:c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 ht="21" customHeight="1">
      <x:c r="A25" s="2"/>
      <x:c r="B25" s="2"/>
      <x:c r="C25" s="2" t="str">
        <x:v>Payment processing</x:v>
      </x:c>
      <x:c r="D25" s="3"/>
      <x:c r="E25" s="3"/>
      <x:c r="F25" s="40" t="n">
        <x:f>F9*'Assumptions'!$F$48+'Assumptions'!$F$49</x:f>
        <x:v>29.3</x:v>
      </x:c>
      <x:c r="G25" s="40" t="n">
        <x:f>G9*'Assumptions'!$F$48+'Assumptions'!$F$49</x:f>
        <x:v>58.3</x:v>
      </x:c>
      <x:c r="H25" s="40" t="n">
        <x:f>H9*'Assumptions'!$F$48+'Assumptions'!$F$49</x:f>
        <x:v>116.3</x:v>
      </x:c>
      <x:c r="I25" s="40" t="n">
        <x:f>I9*'Assumptions'!$F$48+'Assumptions'!$F$49</x:f>
        <x:v>290.3</x:v>
      </x:c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 ht="21" customHeight="1">
      <x:c r="A26" s="2"/>
      <x:c r="B26" s="2"/>
      <x:c r="C26" s="24" t="str">
        <x:v>Total direct monthly cost</x:v>
      </x:c>
      <x:c r="D26" s="25"/>
      <x:c r="E26" s="25"/>
      <x:c r="F26" s="32" t="n">
        <x:f>SUM(F21:F25)</x:f>
        <x:v>330.55</x:v>
      </x:c>
      <x:c r="G26" s="32" t="n">
        <x:f>SUM(G21:G25)</x:f>
        <x:v>739.55</x:v>
      </x:c>
      <x:c r="H26" s="32" t="n">
        <x:f>SUM(H21:H25)</x:f>
        <x:v>1522.55</x:v>
      </x:c>
      <x:c r="I26" s="32" t="n">
        <x:f>SUM(I21:I25)</x:f>
        <x:v>4826.55</x:v>
      </x:c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 ht="21" customHeight="1">
      <x:c r="A27" s="2"/>
      <x:c r="B27" s="2"/>
      <x:c r="C27" s="43" t="str">
        <x:v>Monthly gross contribution</x:v>
      </x:c>
      <x:c r="D27" s="44"/>
      <x:c r="E27" s="44"/>
      <x:c r="F27" s="45" t="n">
        <x:f>F9-F26</x:f>
        <x:v>669.45</x:v>
      </x:c>
      <x:c r="G27" s="45" t="n">
        <x:f>G9-G26</x:f>
        <x:v>1260.45</x:v>
      </x:c>
      <x:c r="H27" s="45" t="n">
        <x:f>H9-H26</x:f>
        <x:v>2477.45</x:v>
      </x:c>
      <x:c r="I27" s="45" t="n">
        <x:f>I9-I26</x:f>
        <x:v>5173.45</x:v>
      </x:c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 ht="21" customHeight="1">
      <x:c r="A28" s="2"/>
      <x:c r="B28" s="2"/>
      <x:c r="C28" s="54" t="str">
        <x:v>Gross margin</x:v>
      </x:c>
      <x:c r="D28" s="55"/>
      <x:c r="E28" s="55"/>
      <x:c r="F28" s="56" t="n">
        <x:f>F27/F9</x:f>
        <x:v>0.6694500000000001</x:v>
      </x:c>
      <x:c r="G28" s="56" t="n">
        <x:f>G27/G9</x:f>
        <x:v>0.630225</x:v>
      </x:c>
      <x:c r="H28" s="56" t="n">
        <x:f>H27/H9</x:f>
        <x:v>0.6193624999999999</x:v>
      </x:c>
      <x:c r="I28" s="56" t="n">
        <x:f>I27/I9</x:f>
        <x:v>0.5173449999999999</x:v>
      </x:c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 ht="21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 ht="21" customHeight="1">
      <x:c r="A30" s="2"/>
      <x:c r="B30" s="2"/>
      <x:c r="C30" s="2" t="str">
        <x:v>Hours include preparation. Clinics: four general sessions/month, up to16 people.</x:v>
      </x:c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 ht="21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 ht="21" customHeight="1">
      <x:c r="A32" s="2"/>
      <x:c r="B32" s="2"/>
      <x:c r="C32" s="24" t="str">
        <x:v>Launch delivery costs and pilot credit</x:v>
      </x:c>
      <x:c r="D32" s="25"/>
      <x:c r="E32" s="25"/>
      <x:c r="F32" s="25"/>
      <x:c r="G32" s="25"/>
      <x:c r="H32" s="25"/>
      <x:c r="I32" s="25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 ht="21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 ht="21" customHeight="1">
      <x:c r="A34" s="2"/>
      <x:c r="B34" s="2"/>
      <x:c r="C34" s="16" t="str">
        <x:v>Service state</x:v>
      </x:c>
      <x:c r="D34" s="17" t="str">
        <x:v>Coach h</x:v>
      </x:c>
      <x:c r="E34" s="17" t="str">
        <x:v>Review h</x:v>
      </x:c>
      <x:c r="F34" s="17" t="str">
        <x:v>Support h</x:v>
      </x:c>
      <x:c r="G34" s="17" t="str">
        <x:v>AI CAD</x:v>
      </x:c>
      <x:c r="H34" s="17" t="str">
        <x:v>Infra CAD</x:v>
      </x:c>
      <x:c r="I34" s="17" t="str">
        <x:v>Cost CAD</x:v>
      </x:c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 ht="21" customHeight="1">
      <x:c r="A35" s="2"/>
      <x:c r="B35" s="2"/>
      <x:c r="C35" s="2" t="str">
        <x:v>Pilot / month</x:v>
      </x:c>
      <x:c r="D35" s="33" t="n">
        <x:v>1</x:v>
      </x:c>
      <x:c r="E35" s="33" t="n">
        <x:v>1</x:v>
      </x:c>
      <x:c r="F35" s="33" t="n">
        <x:v>1</x:v>
      </x:c>
      <x:c r="G35" s="33" t="n">
        <x:v>35</x:v>
      </x:c>
      <x:c r="H35" s="33" t="n">
        <x:v>15</x:v>
      </x:c>
      <x:c r="I35" s="36" t="n">
        <x:f>D35*$D$11+E35*$D$12+F35*$D$17+SUM(G35:H35)</x:f>
        <x:v>385</x:v>
      </x:c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 ht="21" customHeight="1">
      <x:c r="A36" s="2"/>
      <x:c r="B36" s="2"/>
      <x:c r="C36" s="2" t="str">
        <x:v>Professional remaining month</x:v>
      </x:c>
      <x:c r="D36" s="51" t="n">
        <x:f>F11</x:f>
        <x:v>1</x:v>
      </x:c>
      <x:c r="E36" s="51" t="n">
        <x:f>F12</x:f>
        <x:v>0.5</x:v>
      </x:c>
      <x:c r="F36" s="51" t="n">
        <x:f>F17</x:f>
        <x:v>0.5</x:v>
      </x:c>
      <x:c r="G36" s="51" t="n">
        <x:f>F23</x:f>
        <x:v>25</x:v>
      </x:c>
      <x:c r="H36" s="51" t="n">
        <x:f>F24</x:f>
        <x:v>15</x:v>
      </x:c>
      <x:c r="I36" s="36" t="n">
        <x:f>D36*$D$11+E36*$D$12+F36*$D$17+SUM(G36:H36)</x:f>
        <x:v>270</x:v>
      </x:c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 ht="21" customHeight="1">
      <x:c r="A37" s="2"/>
      <x:c r="B37" s="2"/>
      <x:c r="C37" s="2" t="str">
        <x:v>One-time pilot onboarding</x:v>
      </x:c>
      <x:c r="D37" s="33" t="n">
        <x:v>1</x:v>
      </x:c>
      <x:c r="E37" s="33" t="n">
        <x:v>0</x:v>
      </x:c>
      <x:c r="F37" s="33" t="n">
        <x:v>0.5</x:v>
      </x:c>
      <x:c r="G37" s="33" t="n">
        <x:v>0</x:v>
      </x:c>
      <x:c r="H37" s="33" t="n">
        <x:v>0</x:v>
      </x:c>
      <x:c r="I37" s="36" t="n">
        <x:f>D37*$D$11+E37*$D$12+F37*$D$17+SUM(G37:H37)</x:f>
        <x:v>155</x:v>
      </x:c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 ht="21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 ht="21" customHeight="1">
      <x:c r="A39" s="2"/>
      <x:c r="B39" s="2"/>
      <x:c r="C39" s="2" t="str">
        <x:v>Remaining first-year fee</x:v>
      </x:c>
      <x:c r="D39" s="40" t="n">
        <x:f>'Assumptions'!F44-'Assumptions'!F42</x:f>
        <x:v>9000</x:v>
      </x:c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 ht="21" customHeight="1">
      <x:c r="A40" s="2"/>
      <x:c r="B40" s="2"/>
      <x:c r="C40" s="2" t="str">
        <x:v>Remaining service months</x:v>
      </x:c>
      <x:c r="D40" s="35" t="n">
        <x:f>'Assumptions'!F45-'Assumptions'!F43</x:f>
        <x:v>10</x:v>
      </x:c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 ht="21" customHeight="1">
      <x:c r="A41" s="2"/>
      <x:c r="B41" s="2"/>
      <x:c r="C41" s="2" t="str">
        <x:v>Remaining monthly service revenue</x:v>
      </x:c>
      <x:c r="D41" s="39" t="n">
        <x:f>D39/D40</x:f>
        <x:v>900</x:v>
      </x:c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 ht="21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 ht="21" customHeight="1">
      <x:c r="A43" s="2"/>
      <x:c r="B43" s="2"/>
      <x:c r="C43" s="2" t="str">
        <x:v>Pilot credit reconciliation</x:v>
      </x:c>
      <x:c r="D43" s="47" t="n">
        <x:f>'Assumptions'!F42+D39-'Assumptions'!F44</x:f>
        <x:v>0</x:v>
      </x:c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 ht="21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 ht="21" customHeight="1">
      <x:c r="A45" s="2"/>
      <x:c r="B45" s="2"/>
      <x:c r="C45" s="2" t="str">
        <x:v>Pilot occupies first two billing months. Graduation adds10 months for CAD9,000.</x:v>
      </x:c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 ht="21" customHeight="1">
      <x:c r="A46" s="2"/>
      <x:c r="B46" s="2"/>
      <x:c r="C46" s="2" t="str">
        <x:v>Total first-year service is12 months and CAD12,000. Pilot is counted once.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 ht="21" customHeight="1">
      <x:c r="A47" s="2"/>
      <x:c r="B47" s="2"/>
      <x:c r="C47" s="2" t="str">
        <x:v>Sources: proposed prices, reserved-hour quotas and cost allowances; no vendor quotations.</x:v>
      </x:c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 ht="21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 ht="21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 ht="21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 ht="21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 ht="21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 ht="21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 ht="21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 ht="21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 ht="21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 ht="21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 ht="21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 ht="21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 ht="21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 ht="21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 ht="21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 ht="21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 ht="21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 ht="21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 ht="21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 ht="21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 ht="21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 ht="21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 ht="21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 ht="21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 ht="21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 ht="21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 ht="21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 ht="21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 ht="21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 ht="21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 ht="21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 ht="21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 ht="21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</x:sheetData>
  <x:pageMargins left="0.7" right="0.7" top="0.75" bottom="0.75" header="0.3" footer="0.3"/>
</x:worksheet>
</file>