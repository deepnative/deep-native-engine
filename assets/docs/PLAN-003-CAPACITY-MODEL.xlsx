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a12c861d4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" sheetId="1" r:id="R8f965ea2ce9b4f7f"/>
    <x:sheet xmlns:r="http://schemas.openxmlformats.org/officeDocument/2006/relationships" name="Roster" sheetId="2" r:id="R713adb31ebf7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CAD &quot;#,##0.00"/>
    <x:numFmt numFmtId="201" formatCode="0.0"/>
  </x:numFmts>
  <x:fonts count="9">
    <x:font>
      <x:sz val="11"/>
      <x:name val="Carlito"/>
    </x:font>
    <x:font>
      <x:b/>
      <x:sz val="16"/>
      <x:color rgb="FFFFFFFF"/>
      <x:name val="Aptos"/>
    </x:font>
    <x:font>
      <x:sz val="10"/>
      <x:color rgb="FF9B2C2C"/>
      <x:name val="Aptos"/>
    </x:font>
    <x:font>
      <x:b/>
      <x:sz val="11"/>
      <x:color rgb="FFFFFFFF"/>
      <x:name val="Aptos"/>
    </x:font>
    <x:font>
      <x:b/>
      <x:sz val="11"/>
      <x:color rgb="FF9B2C2C"/>
      <x:name val="Aptos"/>
    </x:font>
    <x:font>
      <x:b/>
      <x:sz val="11"/>
      <x:color rgb="FF18324C"/>
      <x:name val="Aptos"/>
    </x:font>
    <x:font>
      <x:sz val="11"/>
      <x:color rgb="FF1557A0"/>
      <x:name val="Aptos"/>
    </x:font>
    <x:font>
      <x:sz val="9"/>
      <x:color rgb="FF5E6570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C"/>
      </x:patternFill>
    </x:fill>
    <x:fill>
      <x:patternFill patternType="solid">
        <x:fgColor rgb="FFFCE4E4"/>
      </x:patternFill>
    </x:fill>
    <x:fill>
      <x:patternFill patternType="solid">
        <x:fgColor rgb="FFE9F1F7"/>
      </x:patternFill>
    </x:fill>
    <x:fill>
      <x:patternFill patternType="solid">
        <x:fgColor rgb="FFFFF4CE"/>
      </x:patternFill>
    </x:fill>
    <x:fill>
      <x:patternFill patternType="solid">
        <x:fgColor rgb="FFFFFDF5"/>
      </x:patternFill>
    </x:fill>
  </x:fills>
  <x:borders count="2">
    <x:border/>
    <x:border>
      <x:left style="thin">
        <x:color rgb="FFE2E7EA"/>
      </x:left>
      <x:right style="thin">
        <x:color rgb="FFE2E7EA"/>
      </x:right>
      <x:top style="thin">
        <x:color rgb="FFE2E7EA"/>
      </x:top>
      <x:bottom style="thin">
        <x:color rgb="FFE2E7E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5" fillId="4" borderId="0" xfId="0" applyNumberFormat="1" applyFont="1" applyFill="1" applyBorder="1"/>
    <x:xf numFmtId="200" fontId="0" fillId="4" borderId="0" xfId="0" applyNumberFormat="1" applyFont="1" applyFill="1" applyBorder="1"/>
    <x:xf numFmtId="200" fontId="5" fillId="4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6c2a66bd144c9" /><Relationship Type="http://schemas.openxmlformats.org/officeDocument/2006/relationships/theme" Target="/xl/theme/theme1.xml" Id="R8922cd37e17b4c1a" /><Relationship Type="http://schemas.openxmlformats.org/officeDocument/2006/relationships/sharedStrings" Target="/xl/sharedStrings.xml" Id="R5040c3335eaf455f" /><Relationship Type="http://schemas.openxmlformats.org/officeDocument/2006/relationships/worksheet" Target="/xl/worksheets/sheet1.xml" Id="R8f965ea2ce9b4f7f" /><Relationship Type="http://schemas.openxmlformats.org/officeDocument/2006/relationships/worksheet" Target="/xl/worksheets/sheet2.xml" Id="R713adb31ebf7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52" hidden="0" customWidth="1"/>
    <x:col min="4" max="4" width="44" hidden="0" customWidth="1"/>
  </x:cols>
  <x:sheetData>
    <x:row r="1" ht="23" customHeight="1">
      <x:c r="A1" s="2" t="str">
        <x:v>PLAN-003  |  Optional expert capacity</x:v>
      </x:c>
      <x:c r="B1" s="2"/>
      <x:c r="C1" s="2"/>
      <x:c r="D1" s="2"/>
    </x:row>
    <x:row r="2" ht="23" customHeight="1">
      <x:c r="A2" s="3" t="str">
        <x:v>Scenario only. No qualified provider or paid-service capacity is verified.</x:v>
      </x:c>
      <x:c r="B2" s="3"/>
      <x:c r="C2" s="3"/>
      <x:c r="D2" s="3"/>
    </x:row>
    <x:row r="3" ht="23" customHeight="1"/>
    <x:row r="4" ht="23" customHeight="1">
      <x:c r="A4" s="4" t="str">
        <x:v>READINESS AND LOAD</x:v>
      </x:c>
      <x:c r="B4" s="4"/>
      <x:c r="C4" s="4"/>
      <x:c r="D4" s="4"/>
    </x:row>
    <x:row r="5" ht="23" customHeight="1">
      <x:c r="A5" t="str">
        <x:v>Paid expert service readiness</x:v>
      </x:c>
      <x:c r="B5" s="6" t="str">
        <x:f>IF(COUNTIF(Roster!B5:B24,"Committed")=0,"UNCONFIRMED","MANUAL REVIEW REQUIRED")</x:f>
        <x:v>UNCONFIRMED</x:v>
      </x:c>
      <x:c r="C5" t="str">
        <x:v>Never treat a roster count or surplus alone as approval.</x:v>
      </x:c>
    </x:row>
    <x:row r="6" ht="23" customHeight="1">
      <x:c r="A6" t="str">
        <x:v>Pilot members</x:v>
      </x:c>
      <x:c r="B6" t="n">
        <x:f>B14</x:f>
        <x:v>5</x:v>
      </x:c>
    </x:row>
    <x:row r="7" ht="23" customHeight="1">
      <x:c r="A7" t="str">
        <x:v>Clinic groups</x:v>
      </x:c>
      <x:c r="B7" t="n">
        <x:f>B37</x:f>
        <x:v>1</x:v>
      </x:c>
    </x:row>
    <x:row r="8" ht="23" customHeight="1">
      <x:c r="A8" t="str">
        <x:v>Total staff hours</x:v>
      </x:c>
      <x:c r="B8" t="n">
        <x:f>B51</x:f>
        <x:v>53.5</x:v>
      </x:c>
      <x:c r="C8" t="str">
        <x:v>Includes individual service and pooled clinic operations once.</x:v>
      </x:c>
    </x:row>
    <x:row r="9" ht="23" customHeight="1">
      <x:c r="A9" t="str">
        <x:v>Illustrative direct labor (CAD)</x:v>
      </x:c>
      <x:c r="B9" s="7" t="n">
        <x:f>B59</x:f>
        <x:v>5815</x:v>
      </x:c>
      <x:c r="C9" t="str">
        <x:v>Historical assumed rates; excludes other operating costs.</x:v>
      </x:c>
    </x:row>
    <x:row r="10" ht="23" customHeight="1"/>
    <x:row r="11" ht="23" customHeight="1"/>
    <x:row r="12" ht="23" customHeight="1">
      <x:c r="A12" s="4" t="str">
        <x:v>EDITABLE DRIVERS</x:v>
      </x:c>
      <x:c r="B12" s="4"/>
      <x:c r="C12" s="4"/>
      <x:c r="D12" s="4"/>
    </x:row>
    <x:row r="13" ht="23" customHeight="1">
      <x:c r="A13" s="9" t="str">
        <x:v>Driver</x:v>
      </x:c>
      <x:c r="B13" s="9" t="str">
        <x:v>Value</x:v>
      </x:c>
      <x:c r="C13" s="9" t="str">
        <x:v>Meaning / unit</x:v>
      </x:c>
      <x:c r="D13" s="9" t="str">
        <x:v>Provenance</x:v>
      </x:c>
    </x:row>
    <x:row r="14" ht="23" customHeight="1">
      <x:c r="A14" t="str">
        <x:v>Pilot members</x:v>
      </x:c>
      <x:c r="B14" s="11" t="n">
        <x:v>5</x:v>
      </x:c>
      <x:c r="C14" t="str">
        <x:v>Synthetic example; edit for cohort size</x:v>
      </x:c>
      <x:c r="D14" t="str">
        <x:v>New illustrative scenario</x:v>
      </x:c>
    </x:row>
    <x:row r="15" ht="23" customHeight="1">
      <x:c r="A15" t="str">
        <x:v>Pilot billing months</x:v>
      </x:c>
      <x:c r="B15" s="11" t="n">
        <x:v>2</x:v>
      </x:c>
      <x:c r="C15" t="str">
        <x:v>Two month standalone pilot</x:v>
      </x:c>
      <x:c r="D15" t="str">
        <x:v>Archived roadmap, Offer entitlements</x:v>
      </x:c>
    </x:row>
    <x:row r="16" ht="23" customHeight="1">
      <x:c r="A16" t="str">
        <x:v>Coach units per member</x:v>
      </x:c>
      <x:c r="B16" s="11" t="n">
        <x:v>2</x:v>
      </x:c>
      <x:c r="C16" t="str">
        <x:v>Each includes contact and preparation/notes</x:v>
      </x:c>
      <x:c r="D16" t="str">
        <x:v>Archived roadmap, Pilot package</x:v>
      </x:c>
    </x:row>
    <x:row r="17" ht="23" customHeight="1">
      <x:c r="A17" t="str">
        <x:v>Minutes per coach unit</x:v>
      </x:c>
      <x:c r="B17" s="11" t="n">
        <x:v>60</x:v>
      </x:c>
      <x:c r="C17" t="str">
        <x:v>45 contact + 15 preparation/notes</x:v>
      </x:c>
      <x:c r="D17" t="str">
        <x:v>Archived roadmap, Pilot package</x:v>
      </x:c>
    </x:row>
    <x:row r="18" ht="23" customHeight="1">
      <x:c r="A18" t="str">
        <x:v>Review units per member</x:v>
      </x:c>
      <x:c r="B18" s="11" t="n">
        <x:v>4</x:v>
      </x:c>
      <x:c r="C18" t="str">
        <x:v>Scoped reviews across pilot</x:v>
      </x:c>
      <x:c r="D18" t="str">
        <x:v>Archived roadmap, Pilot package</x:v>
      </x:c>
    </x:row>
    <x:row r="19" ht="23" customHeight="1">
      <x:c r="A19" t="str">
        <x:v>Minutes per review unit</x:v>
      </x:c>
      <x:c r="B19" s="11" t="n">
        <x:v>30</x:v>
      </x:c>
      <x:c r="C19" t="str">
        <x:v>Approx. 20 review + 10 preparation</x:v>
      </x:c>
      <x:c r="D19" t="str">
        <x:v>Archived roadmap, Pilot package</x:v>
      </x:c>
    </x:row>
    <x:row r="20" ht="23" customHeight="1">
      <x:c r="A20" t="str">
        <x:v>Support minutes / member / month</x:v>
      </x:c>
      <x:c r="B20" s="11" t="n">
        <x:v>60</x:v>
      </x:c>
      <x:c r="C20" t="str">
        <x:v>Support allocation, not resolution guarantee</x:v>
      </x:c>
      <x:c r="D20" t="str">
        <x:v>Archived roadmap, Pilot package</x:v>
      </x:c>
    </x:row>
    <x:row r="21" ht="23" customHeight="1">
      <x:c r="A21" t="str">
        <x:v>Onboarding coach minutes / member</x:v>
      </x:c>
      <x:c r="B21" s="11" t="n">
        <x:v>60</x:v>
      </x:c>
      <x:c r="C21" t="str">
        <x:v>Internal reserve, not purchased unit</x:v>
      </x:c>
      <x:c r="D21" t="str">
        <x:v>Archived roadmap, Pilot package</x:v>
      </x:c>
    </x:row>
    <x:row r="22" ht="23" customHeight="1">
      <x:c r="A22" t="str">
        <x:v>Onboarding support minutes / member</x:v>
      </x:c>
      <x:c r="B22" s="11" t="n">
        <x:v>30</x:v>
      </x:c>
      <x:c r="C22" t="str">
        <x:v>Internal reserve, not purchased unit</x:v>
      </x:c>
      <x:c r="D22" t="str">
        <x:v>Archived roadmap, Pilot package</x:v>
      </x:c>
    </x:row>
    <x:row r="23" ht="23" customHeight="1">
      <x:c r="A23" t="str">
        <x:v>Clinics / month / group</x:v>
      </x:c>
      <x:c r="B23" s="11" t="n">
        <x:v>4</x:v>
      </x:c>
      <x:c r="C23" t="str">
        <x:v>Pooled sessions</x:v>
      </x:c>
      <x:c r="D23" t="str">
        <x:v>Archived roadmap, Offer entitlements</x:v>
      </x:c>
    </x:row>
    <x:row r="24" ht="23" customHeight="1">
      <x:c r="A24" t="str">
        <x:v>Members / clinic group maximum</x:v>
      </x:c>
      <x:c r="B24" s="11" t="n">
        <x:v>16</x:v>
      </x:c>
      <x:c r="C24" t="str">
        <x:v>Group capacity boundary</x:v>
      </x:c>
      <x:c r="D24" t="str">
        <x:v>Archived roadmap, Offer entitlements</x:v>
      </x:c>
    </x:row>
    <x:row r="25" ht="23" customHeight="1">
      <x:c r="A25" t="str">
        <x:v>Clinic contact minutes</x:v>
      </x:c>
      <x:c r="B25" s="11" t="n">
        <x:v>60</x:v>
      </x:c>
      <x:c r="C25" t="str">
        <x:v>One group session</x:v>
      </x:c>
      <x:c r="D25" t="str">
        <x:v>Archived roadmap, Offer entitlements</x:v>
      </x:c>
    </x:row>
    <x:row r="26" ht="23" customHeight="1">
      <x:c r="A26" t="str">
        <x:v>Clinic prep minutes</x:v>
      </x:c>
      <x:c r="B26" s="11" t="n">
        <x:v>15</x:v>
      </x:c>
      <x:c r="C26" t="str">
        <x:v>Coach, per group session</x:v>
      </x:c>
      <x:c r="D26" t="str">
        <x:v>New illustrative scenario</x:v>
      </x:c>
    </x:row>
    <x:row r="27" ht="23" customHeight="1">
      <x:c r="A27" t="str">
        <x:v>Clinic notes minutes</x:v>
      </x:c>
      <x:c r="B27" s="11" t="n">
        <x:v>15</x:v>
      </x:c>
      <x:c r="C27" t="str">
        <x:v>Analyst, per group session</x:v>
      </x:c>
      <x:c r="D27" t="str">
        <x:v>New illustrative scenario</x:v>
      </x:c>
    </x:row>
    <x:row r="28" ht="23" customHeight="1">
      <x:c r="A28" t="str">
        <x:v>Clinic QA minutes</x:v>
      </x:c>
      <x:c r="B28" s="11" t="n">
        <x:v>15</x:v>
      </x:c>
      <x:c r="C28" t="str">
        <x:v>Analyst, per group session</x:v>
      </x:c>
      <x:c r="D28" t="str">
        <x:v>New illustrative scenario</x:v>
      </x:c>
    </x:row>
    <x:row r="29" ht="23" customHeight="1">
      <x:c r="A29" t="str">
        <x:v>Clinic scheduling/slack minutes</x:v>
      </x:c>
      <x:c r="B29" s="11" t="n">
        <x:v>15</x:v>
      </x:c>
      <x:c r="C29" t="str">
        <x:v>Support, per group session</x:v>
      </x:c>
      <x:c r="D29" t="str">
        <x:v>New illustrative scenario</x:v>
      </x:c>
    </x:row>
    <x:row r="30" ht="23" customHeight="1">
      <x:c r="A30" t="str">
        <x:v>Coach loaded CAD / hour</x:v>
      </x:c>
      <x:c r="B30" s="12" t="n">
        <x:v>125</x:v>
      </x:c>
      <x:c r="C30" t="str">
        <x:v>Planning assumption, not provider quote</x:v>
      </x:c>
      <x:c r="D30" t="str">
        <x:v>Archived business plan, Economics</x:v>
      </x:c>
    </x:row>
    <x:row r="31" ht="23" customHeight="1">
      <x:c r="A31" t="str">
        <x:v>Reviewer loaded CAD / hour</x:v>
      </x:c>
      <x:c r="B31" s="12" t="n">
        <x:v>150</x:v>
      </x:c>
      <x:c r="C31" t="str">
        <x:v>Planning assumption, not provider quote</x:v>
      </x:c>
      <x:c r="D31" t="str">
        <x:v>Archived business plan, Economics</x:v>
      </x:c>
    </x:row>
    <x:row r="32" ht="23" customHeight="1">
      <x:c r="A32" t="str">
        <x:v>Analyst loaded CAD / hour</x:v>
      </x:c>
      <x:c r="B32" s="12" t="n">
        <x:v>80</x:v>
      </x:c>
      <x:c r="C32" t="str">
        <x:v>Planning assumption, not provider quote</x:v>
      </x:c>
      <x:c r="D32" t="str">
        <x:v>Archived business plan, Economics</x:v>
      </x:c>
    </x:row>
    <x:row r="33" ht="23" customHeight="1">
      <x:c r="A33" t="str">
        <x:v>Support loaded CAD / hour</x:v>
      </x:c>
      <x:c r="B33" s="12" t="n">
        <x:v>60</x:v>
      </x:c>
      <x:c r="C33" t="str">
        <x:v>Planning assumption, not provider quote</x:v>
      </x:c>
      <x:c r="D33" t="str">
        <x:v>Archived business plan, Economics</x:v>
      </x:c>
    </x:row>
    <x:row r="34" ht="23" customHeight="1"/>
    <x:row r="35" ht="23" customHeight="1">
      <x:c r="A35" s="4" t="str">
        <x:v>WORKLOAD BUILD  |  hours over pilot window</x:v>
      </x:c>
      <x:c r="B35" s="4"/>
      <x:c r="C35" s="4"/>
      <x:c r="D35" s="4"/>
    </x:row>
    <x:row r="36" ht="23" customHeight="1">
      <x:c r="A36" s="9" t="str">
        <x:v>Activity / role</x:v>
      </x:c>
      <x:c r="B36" s="9" t="str">
        <x:v>Hours or count</x:v>
      </x:c>
      <x:c r="C36" s="9" t="str">
        <x:v>Counted once as</x:v>
      </x:c>
    </x:row>
    <x:row r="37" ht="23" customHeight="1">
      <x:c r="A37" t="str">
        <x:v>Clinic groups</x:v>
      </x:c>
      <x:c r="B37" t="n">
        <x:f>ROUNDUP(B14/B24,0)</x:f>
        <x:v>1</x:v>
      </x:c>
      <x:c r="C37" t="str">
        <x:v>Count</x:v>
      </x:c>
    </x:row>
    <x:row r="38" ht="23" customHeight="1">
      <x:c r="A38" t="str">
        <x:v>Pooled clinic sessions</x:v>
      </x:c>
      <x:c r="B38" t="n">
        <x:f>B37*B23*B15</x:f>
        <x:v>8</x:v>
      </x:c>
      <x:c r="C38" t="str">
        <x:v>Count; not multiplied by members</x:v>
      </x:c>
    </x:row>
    <x:row r="39" ht="23" customHeight="1">
      <x:c r="A39" t="str">
        <x:v>Individual coach hours</x:v>
      </x:c>
      <x:c r="B39" s="13" t="n">
        <x:f>B14*(B16*B17+B21)/60</x:f>
        <x:v>15</x:v>
      </x:c>
      <x:c r="C39" t="str">
        <x:v>Two units + onboarding reserve</x:v>
      </x:c>
    </x:row>
    <x:row r="40" ht="23" customHeight="1">
      <x:c r="A40" t="str">
        <x:v>Individual reviewer hours</x:v>
      </x:c>
      <x:c r="B40" s="13" t="n">
        <x:f>B14*B18*B19/60</x:f>
        <x:v>10</x:v>
      </x:c>
      <x:c r="C40" t="str">
        <x:v>Four scoped units</x:v>
      </x:c>
    </x:row>
    <x:row r="41" ht="23" customHeight="1">
      <x:c r="A41" t="str">
        <x:v>Individual support hours</x:v>
      </x:c>
      <x:c r="B41" s="13" t="n">
        <x:f>B14*(B15*B20+B22)/60</x:f>
        <x:v>12.5</x:v>
      </x:c>
      <x:c r="C41" t="str">
        <x:v>Monthly allowance + onboarding reserve</x:v>
      </x:c>
    </x:row>
    <x:row r="42" ht="23" customHeight="1">
      <x:c r="A42" t="str">
        <x:v>Clinic contact hours</x:v>
      </x:c>
      <x:c r="B42" s="13" t="n">
        <x:f>B38*B25/60</x:f>
        <x:v>8</x:v>
      </x:c>
      <x:c r="C42" t="str">
        <x:v>Coach, pooled</x:v>
      </x:c>
    </x:row>
    <x:row r="43" ht="23" customHeight="1">
      <x:c r="A43" t="str">
        <x:v>Clinic prep hours</x:v>
      </x:c>
      <x:c r="B43" s="13" t="n">
        <x:f>B38*B26/60</x:f>
        <x:v>2</x:v>
      </x:c>
      <x:c r="C43" t="str">
        <x:v>Coach, pooled</x:v>
      </x:c>
    </x:row>
    <x:row r="44" ht="23" customHeight="1">
      <x:c r="A44" t="str">
        <x:v>Clinic notes hours</x:v>
      </x:c>
      <x:c r="B44" s="13" t="n">
        <x:f>B38*B27/60</x:f>
        <x:v>2</x:v>
      </x:c>
      <x:c r="C44" t="str">
        <x:v>Analyst, pooled</x:v>
      </x:c>
    </x:row>
    <x:row r="45" ht="23" customHeight="1">
      <x:c r="A45" t="str">
        <x:v>Clinic QA hours</x:v>
      </x:c>
      <x:c r="B45" s="13" t="n">
        <x:f>B38*B28/60</x:f>
        <x:v>2</x:v>
      </x:c>
      <x:c r="C45" t="str">
        <x:v>Analyst, pooled</x:v>
      </x:c>
    </x:row>
    <x:row r="46" ht="23" customHeight="1">
      <x:c r="A46" t="str">
        <x:v>Clinic scheduling/slack hours</x:v>
      </x:c>
      <x:c r="B46" s="13" t="n">
        <x:f>B38*B29/60</x:f>
        <x:v>2</x:v>
      </x:c>
      <x:c r="C46" t="str">
        <x:v>Support, pooled</x:v>
      </x:c>
    </x:row>
    <x:row r="47" ht="23" customHeight="1">
      <x:c r="A47" t="str">
        <x:v>Total coach hours</x:v>
      </x:c>
      <x:c r="B47" s="13" t="n">
        <x:f>SUM(B39,B42:B43)</x:f>
        <x:v>25</x:v>
      </x:c>
      <x:c r="C47" t="str">
        <x:v>Individual + clinic</x:v>
      </x:c>
    </x:row>
    <x:row r="48" ht="23" customHeight="1">
      <x:c r="A48" t="str">
        <x:v>Total reviewer hours</x:v>
      </x:c>
      <x:c r="B48" s="13" t="n">
        <x:f>B40</x:f>
        <x:v>10</x:v>
      </x:c>
      <x:c r="C48" t="str">
        <x:v>Individual</x:v>
      </x:c>
    </x:row>
    <x:row r="49" ht="23" customHeight="1">
      <x:c r="A49" t="str">
        <x:v>Total analyst hours</x:v>
      </x:c>
      <x:c r="B49" s="13" t="n">
        <x:f>SUM(B44:B45)</x:f>
        <x:v>4</x:v>
      </x:c>
      <x:c r="C49" t="str">
        <x:v>Clinic</x:v>
      </x:c>
    </x:row>
    <x:row r="50" ht="23" customHeight="1">
      <x:c r="A50" t="str">
        <x:v>Total support hours</x:v>
      </x:c>
      <x:c r="B50" s="13" t="n">
        <x:f>SUM(B41,B46)</x:f>
        <x:v>14.5</x:v>
      </x:c>
      <x:c r="C50" t="str">
        <x:v>Individual + clinic</x:v>
      </x:c>
    </x:row>
    <x:row r="51" ht="23" customHeight="1">
      <x:c r="A51" s="9" t="str">
        <x:v>TOTAL STAFF HOURS</x:v>
      </x:c>
      <x:c r="B51" s="15" t="n">
        <x:f>SUM(B47:B50)</x:f>
        <x:v>53.5</x:v>
      </x:c>
      <x:c r="C51" s="9" t="str">
        <x:v>All roles, no shared-hour multiplication</x:v>
      </x:c>
    </x:row>
    <x:row r="52" ht="23" customHeight="1"/>
    <x:row r="53" ht="23" customHeight="1">
      <x:c r="A53" s="4" t="str">
        <x:v>ILLUSTRATIVE DIRECT LABOR COST</x:v>
      </x:c>
      <x:c r="B53" s="4"/>
      <x:c r="C53" s="4"/>
      <x:c r="D53" s="4"/>
    </x:row>
    <x:row r="54" ht="23" customHeight="1">
      <x:c r="A54" s="9" t="str">
        <x:v>Role</x:v>
      </x:c>
      <x:c r="B54" s="9" t="str">
        <x:v>CAD across pilot</x:v>
      </x:c>
    </x:row>
    <x:row r="55" ht="23" customHeight="1">
      <x:c r="A55" t="str">
        <x:v>Coach</x:v>
      </x:c>
      <x:c r="B55" s="7" t="n">
        <x:f>B47*B30</x:f>
        <x:v>3125</x:v>
      </x:c>
    </x:row>
    <x:row r="56" ht="23" customHeight="1">
      <x:c r="A56" t="str">
        <x:v>Reviewer</x:v>
      </x:c>
      <x:c r="B56" s="7" t="n">
        <x:f>B48*B31</x:f>
        <x:v>1500</x:v>
      </x:c>
    </x:row>
    <x:row r="57" ht="23" customHeight="1">
      <x:c r="A57" t="str">
        <x:v>Analyst</x:v>
      </x:c>
      <x:c r="B57" s="7" t="n">
        <x:f>B49*B32</x:f>
        <x:v>320</x:v>
      </x:c>
    </x:row>
    <x:row r="58" ht="23" customHeight="1">
      <x:c r="A58" t="str">
        <x:v>Support</x:v>
      </x:c>
      <x:c r="B58" s="7" t="n">
        <x:f>B50*B33</x:f>
        <x:v>870</x:v>
      </x:c>
    </x:row>
    <x:row r="59" ht="23" customHeight="1">
      <x:c r="A59" s="9" t="str">
        <x:v>TOTAL ILLUSTRATIVE LABOR</x:v>
      </x:c>
      <x:c r="B59" s="17" t="n">
        <x:f>SUM(B55:B58)</x:f>
        <x:v>5815</x:v>
      </x:c>
    </x:row>
    <x:row r="60" ht="23" customHeight="1"/>
    <x:row r="61" ht="23" customHeight="1">
      <x:c r="A61" s="18" t="str">
        <x:v>Readiness requires human review of expertise, agreements, conflicts, availability, specialty and recovery reserve.</x:v>
      </x:c>
      <x:c r="B61" s="18"/>
      <x:c r="C61" s="18"/>
      <x:c r="D61" s="18"/>
    </x:row>
    <x:row r="62" ht="23" customHeight="1">
      <x:c r="A62" s="18" t="str">
        <x:v>Excludes content maintenance, hiring, management, cancellations/recovery, other cohorts, AI and infrastructure.</x:v>
      </x:c>
      <x:c r="B62" s="18"/>
      <x:c r="C62" s="18"/>
      <x:c r="D62" s="18"/>
    </x:row>
    <x:row r="63" ht="23" customHeight="1">
      <x:c r="A63" s="18" t="str">
        <x:v>Sources: assets/docs/context/source-2026-09-15/outputs/contractor-platform/{03-roadmap-and-backlog,01-business-plan}.md</x:v>
      </x:c>
      <x:c r="B63" s="18"/>
      <x:c r="C63" s="18"/>
      <x:c r="D63" s="18"/>
    </x:row>
    <x:row r="64" ht="23" customHeight="1"/>
    <x:row r="65" ht="23" customHeight="1"/>
  </x:sheetData>
  <x:dataValidations count="1">
    <x:dataValidation type="whole" operator="between" sqref="B14">
      <x:formula1>1</x:formula1>
      <x:formula2>10000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7" hidden="0" customWidth="1"/>
    <x:col min="5" max="5" width="27" hidden="0" customWidth="1"/>
    <x:col min="6" max="6" width="31" hidden="0" customWidth="1"/>
    <x:col min="7" max="7" width="31" hidden="0" customWidth="1"/>
    <x:col min="8" max="8" width="18" hidden="0" customWidth="1"/>
    <x:col min="9" max="9" width="18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>
      <x:c r="A1" s="2" t="str">
        <x:v>Expert evidence roster  |  no verified providers entered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Enter minimal reference IDs here; keep personal/contract evidence in an access-controlled location.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 t="str">
        <x:v>Proposed contacts contribute zero committed hours. A signed and verified commitment still needs owner approval.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4" customHeight="1">
      <x:c r="A4" s="20" t="str">
        <x:v>Provider ID</x:v>
      </x:c>
      <x:c r="B4" s="20" t="str">
        <x:v>Stage</x:v>
      </x:c>
      <x:c r="C4" s="20" t="str">
        <x:v>Role</x:v>
      </x:c>
      <x:c r="D4" s="20" t="str">
        <x:v>Domain / specialty</x:v>
      </x:c>
      <x:c r="E4" s="20" t="str">
        <x:v>Service types</x:v>
      </x:c>
      <x:c r="F4" s="20" t="str">
        <x:v>Expertise evidence ref + verifier/date</x:v>
      </x:c>
      <x:c r="G4" s="20" t="str">
        <x:v>Pilot window / time zone</x:v>
      </x:c>
      <x:c r="H4" s="20" t="str">
        <x:v>Available hours</x:v>
      </x:c>
      <x:c r="I4" s="20" t="str">
        <x:v>Loaded CAD/h</x:v>
      </x:c>
      <x:c r="J4" s="20" t="str">
        <x:v>Rate evidence ref</x:v>
      </x:c>
      <x:c r="K4" s="20" t="str">
        <x:v>Conflict decision/ref</x:v>
      </x:c>
      <x:c r="L4" s="20" t="str">
        <x:v>Backup ID/exception</x:v>
      </x:c>
      <x:c r="M4" s="20" t="str">
        <x:v>Signed terms / owner decision</x:v>
      </x:c>
    </x:row>
    <x:row r="5">
      <x:c r="A5" s="23"/>
      <x:c r="B5" s="23"/>
      <x:c r="C5" s="23"/>
      <x:c r="D5" s="23"/>
      <x:c r="E5" s="23"/>
      <x:c r="F5" s="23"/>
      <x:c r="G5" s="23"/>
      <x:c r="H5" s="23"/>
      <x:c r="I5" s="24"/>
      <x:c r="J5" s="23"/>
      <x:c r="K5" s="23"/>
      <x:c r="L5" s="23"/>
      <x:c r="M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4"/>
      <x:c r="J6" s="23"/>
      <x:c r="K6" s="23"/>
      <x:c r="L6" s="23"/>
      <x:c r="M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4"/>
      <x:c r="J7" s="23"/>
      <x:c r="K7" s="23"/>
      <x:c r="L7" s="23"/>
      <x:c r="M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4"/>
      <x:c r="J8" s="23"/>
      <x:c r="K8" s="23"/>
      <x:c r="L8" s="23"/>
      <x:c r="M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4"/>
      <x:c r="J9" s="23"/>
      <x:c r="K9" s="23"/>
      <x:c r="L9" s="23"/>
      <x:c r="M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4"/>
      <x:c r="J10" s="23"/>
      <x:c r="K10" s="23"/>
      <x:c r="L10" s="23"/>
      <x:c r="M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4"/>
      <x:c r="J11" s="23"/>
      <x:c r="K11" s="23"/>
      <x:c r="L11" s="23"/>
      <x:c r="M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4"/>
      <x:c r="J12" s="23"/>
      <x:c r="K12" s="23"/>
      <x:c r="L12" s="23"/>
      <x:c r="M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4"/>
      <x:c r="J13" s="23"/>
      <x:c r="K13" s="23"/>
      <x:c r="L13" s="23"/>
      <x:c r="M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4"/>
      <x:c r="J14" s="23"/>
      <x:c r="K14" s="23"/>
      <x:c r="L14" s="23"/>
      <x:c r="M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4"/>
      <x:c r="J15" s="23"/>
      <x:c r="K15" s="23"/>
      <x:c r="L15" s="23"/>
      <x:c r="M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4"/>
      <x:c r="J16" s="23"/>
      <x:c r="K16" s="23"/>
      <x:c r="L16" s="23"/>
      <x:c r="M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4"/>
      <x:c r="J17" s="23"/>
      <x:c r="K17" s="23"/>
      <x:c r="L17" s="23"/>
      <x:c r="M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4"/>
      <x:c r="J18" s="23"/>
      <x:c r="K18" s="23"/>
      <x:c r="L18" s="23"/>
      <x:c r="M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4"/>
      <x:c r="J19" s="23"/>
      <x:c r="K19" s="23"/>
      <x:c r="L19" s="23"/>
      <x:c r="M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4"/>
      <x:c r="J20" s="23"/>
      <x:c r="K20" s="23"/>
      <x:c r="L20" s="23"/>
      <x:c r="M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4"/>
      <x:c r="J21" s="23"/>
      <x:c r="K21" s="23"/>
      <x:c r="L21" s="23"/>
      <x:c r="M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4"/>
      <x:c r="J22" s="23"/>
      <x:c r="K22" s="23"/>
      <x:c r="L22" s="23"/>
      <x:c r="M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4"/>
      <x:c r="J23" s="23"/>
      <x:c r="K23" s="23"/>
      <x:c r="L23" s="23"/>
      <x:c r="M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4"/>
      <x:c r="J24" s="23"/>
      <x:c r="K24" s="23"/>
      <x:c r="L24" s="23"/>
      <x:c r="M24" s="23"/>
    </x:row>
  </x:sheetData>
  <x:dataValidations count="1">
    <x:dataValidation type="list" sqref="B5:B24">
      <x:formula1>"Proposed,Committed"</x:formula1>
    </x:dataValidation>
  </x:dataValidations>
  <x:pageMargins left="0.7" right="0.7" top="0.75" bottom="0.75" header="0.3" footer="0.3"/>
</x:worksheet>
</file>